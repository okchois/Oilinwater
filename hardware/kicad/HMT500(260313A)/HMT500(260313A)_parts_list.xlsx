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3" headerRowCount="1">
  <autoFilter ref="A1:N63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COUNTIF('부품리스트'!$B$2:$B$63,A7)</f>
        <v/>
      </c>
      <c r="C7" s="9">
        <f>SUMIFS('부품리스트'!$L$2:$L$63,'부품리스트'!$B$2:$B$63,A7)</f>
        <v/>
      </c>
      <c r="D7" s="9">
        <f>SUMIFS('부품리스트'!$M$2:$M$63,'부품리스트'!$B$2:$B$63,A7)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COUNTIF('부품리스트'!$B$2:$B$63,A8)</f>
        <v/>
      </c>
      <c r="C8" s="9">
        <f>SUMIFS('부품리스트'!$L$2:$L$63,'부품리스트'!$B$2:$B$63,A8)</f>
        <v/>
      </c>
      <c r="D8" s="9">
        <f>SUMIFS('부품리스트'!$M$2:$M$63,'부품리스트'!$B$2:$B$63,A8)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COUNTIF('부품리스트'!$B$2:$B$63,A9)</f>
        <v/>
      </c>
      <c r="C9" s="9">
        <f>SUMIFS('부품리스트'!$L$2:$L$63,'부품리스트'!$B$2:$B$63,A9)</f>
        <v/>
      </c>
      <c r="D9" s="9">
        <f>SUMIFS('부품리스트'!$M$2:$M$63,'부품리스트'!$B$2:$B$63,A9)</f>
        <v/>
      </c>
      <c r="E9" s="10">
        <f>C9*$B$4</f>
        <v/>
      </c>
      <c r="F9" s="10">
        <f>D9*$B$4</f>
        <v/>
      </c>
    </row>
    <row r="10">
      <c r="A10" s="7" t="inlineStr">
        <is>
          <t>커넥터</t>
        </is>
      </c>
      <c r="B10" s="8">
        <f>COUNTIF('부품리스트'!$B$2:$B$63,A10)</f>
        <v/>
      </c>
      <c r="C10" s="9">
        <f>SUMIFS('부품리스트'!$L$2:$L$63,'부품리스트'!$B$2:$B$63,A10)</f>
        <v/>
      </c>
      <c r="D10" s="9">
        <f>SUMIFS('부품리스트'!$M$2:$M$63,'부품리스트'!$B$2:$B$63,A10)</f>
        <v/>
      </c>
      <c r="E10" s="10">
        <f>C10*$B$4</f>
        <v/>
      </c>
      <c r="F10" s="10">
        <f>D10*$B$4</f>
        <v/>
      </c>
    </row>
    <row r="11">
      <c r="A11" s="7" t="inlineStr">
        <is>
          <t>생산</t>
        </is>
      </c>
      <c r="B11" s="8">
        <f>COUNTIF('부품리스트'!$B$2:$B$63,A11)</f>
        <v/>
      </c>
      <c r="C11" s="9">
        <f>SUMIFS('부품리스트'!$L$2:$L$63,'부품리스트'!$B$2:$B$63,A11)</f>
        <v/>
      </c>
      <c r="D11" s="9">
        <f>SUMIFS('부품리스트'!$M$2:$M$63,'부품리스트'!$B$2:$B$63,A11)</f>
        <v/>
      </c>
      <c r="E11" s="10">
        <f>C11*$B$4</f>
        <v/>
      </c>
      <c r="F11" s="10">
        <f>D11*$B$4</f>
        <v/>
      </c>
    </row>
    <row r="12">
      <c r="A12" s="7" t="inlineStr">
        <is>
          <t>전원</t>
        </is>
      </c>
      <c r="B12" s="8">
        <f>COUNTIF('부품리스트'!$B$2:$B$63,A12)</f>
        <v/>
      </c>
      <c r="C12" s="9">
        <f>SUMIFS('부품리스트'!$L$2:$L$63,'부품리스트'!$B$2:$B$63,A12)</f>
        <v/>
      </c>
      <c r="D12" s="9">
        <f>SUMIFS('부품리스트'!$M$2:$M$63,'부품리스트'!$B$2:$B$63,A12)</f>
        <v/>
      </c>
      <c r="E12" s="10">
        <f>C12*$B$4</f>
        <v/>
      </c>
      <c r="F12" s="10">
        <f>D12*$B$4</f>
        <v/>
      </c>
    </row>
    <row r="13">
      <c r="A13" s="7" t="inlineStr">
        <is>
          <t>출력</t>
        </is>
      </c>
      <c r="B13" s="8">
        <f>COUNTIF('부품리스트'!$B$2:$B$63,A13)</f>
        <v/>
      </c>
      <c r="C13" s="9">
        <f>SUMIFS('부품리스트'!$L$2:$L$63,'부품리스트'!$B$2:$B$63,A13)</f>
        <v/>
      </c>
      <c r="D13" s="9">
        <f>SUMIFS('부품리스트'!$M$2:$M$63,'부품리스트'!$B$2:$B$63,A13)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COUNTIF('부품리스트'!$B$2:$B$63,A14)</f>
        <v/>
      </c>
      <c r="C14" s="9">
        <f>SUMIFS('부품리스트'!$L$2:$L$63,'부품리스트'!$B$2:$B$63,A14)</f>
        <v/>
      </c>
      <c r="D14" s="9">
        <f>SUMIFS('부품리스트'!$M$2:$M$63,'부품리스트'!$B$2:$B$63,A14)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COUNTIF('부품리스트'!$B$2:$B$63,A15)</f>
        <v/>
      </c>
      <c r="C15" s="9">
        <f>SUMIFS('부품리스트'!$L$2:$L$63,'부품리스트'!$B$2:$B$63,A15)</f>
        <v/>
      </c>
      <c r="D15" s="9">
        <f>SUMIFS('부품리스트'!$M$2:$M$63,'부품리스트'!$B$2:$B$63,A15)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COUNTIF('부품리스트'!$B$2:$B$63,A16)</f>
        <v/>
      </c>
      <c r="C16" s="9">
        <f>SUMIFS('부품리스트'!$L$2:$L$63,'부품리스트'!$B$2:$B$63,A16)</f>
        <v/>
      </c>
      <c r="D16" s="9">
        <f>SUMIFS('부품리스트'!$M$2:$M$63,'부품리스트'!$B$2:$B$63,A16)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COUNTIF('부품리스트'!$B$2:$B$63,A17)</f>
        <v/>
      </c>
      <c r="C17" s="9">
        <f>SUMIFS('부품리스트'!$L$2:$L$63,'부품리스트'!$B$2:$B$63,A17)</f>
        <v/>
      </c>
      <c r="D17" s="9">
        <f>SUMIFS('부품리스트'!$M$2:$M$63,'부품리스트'!$B$2:$B$63,A17)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COUNTIF('부품리스트'!$B$2:$B$63,A18)</f>
        <v/>
      </c>
      <c r="C18" s="9">
        <f>SUMIFS('부품리스트'!$L$2:$L$63,'부품리스트'!$B$2:$B$63,A18)</f>
        <v/>
      </c>
      <c r="D18" s="9">
        <f>SUMIFS('부품리스트'!$M$2:$M$63,'부품리스트'!$B$2:$B$63,A18)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COUNTIF('부품리스트'!$B$2:$B$63,A19)</f>
        <v/>
      </c>
      <c r="C19" s="9">
        <f>SUMIFS('부품리스트'!$L$2:$L$63,'부품리스트'!$B$2:$B$63,A19)</f>
        <v/>
      </c>
      <c r="D19" s="9">
        <f>SUMIFS('부품리스트'!$M$2:$M$63,'부품리스트'!$B$2:$B$63,A19)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LMR36006, PCAP04, TPS26611 (회로도 VERIFY 표시; DAC8760은 v0.7에서 데이터시트 핀 확정).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C12 C24 C25 C26</t>
        </is>
      </c>
      <c r="D8" s="18" t="n">
        <v>5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C45 C52 C55</t>
        </is>
      </c>
      <c r="D15" s="18" t="n">
        <v>4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D30 D40</t>
        </is>
      </c>
      <c r="D19" s="18" t="n">
        <v>2</v>
      </c>
      <c r="E19" s="16" t="inlineStr">
        <is>
          <t>SMAJ33CA</t>
        </is>
      </c>
      <c r="F19" s="16" t="inlineStr">
        <is>
          <t>D_SMA</t>
        </is>
      </c>
      <c r="G19" s="16" t="inlineStr">
        <is>
          <t>Littelfuse</t>
        </is>
      </c>
      <c r="H19" s="17" t="inlineStr">
        <is>
          <t>SMAJ33CA</t>
        </is>
      </c>
      <c r="I19" s="17" t="inlineStr">
        <is>
          <t>TVS 400 W 33 V 양방향 SMA (아날로그 출력)</t>
        </is>
      </c>
      <c r="J19" s="19" t="n">
        <v>0.06</v>
      </c>
      <c r="K19" s="19" t="n">
        <v>0.15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수동</t>
        </is>
      </c>
      <c r="C20" s="17" t="inlineStr">
        <is>
          <t>FB1</t>
        </is>
      </c>
      <c r="D20" s="18" t="n">
        <v>1</v>
      </c>
      <c r="E20" s="16" t="inlineStr">
        <is>
          <t>600R@100MHz</t>
        </is>
      </c>
      <c r="F20" s="16" t="inlineStr">
        <is>
          <t>L_0603_1608Metric</t>
        </is>
      </c>
      <c r="G20" s="16" t="inlineStr">
        <is>
          <t>Murata</t>
        </is>
      </c>
      <c r="H20" s="17" t="inlineStr">
        <is>
          <t>BLM18KG601SN1D</t>
        </is>
      </c>
      <c r="I20" s="17" t="inlineStr">
        <is>
          <t>페라이트 비드 600 Ω@100 MHz 0603</t>
        </is>
      </c>
      <c r="J20" s="19" t="n">
        <v>0.01</v>
      </c>
      <c r="K20" s="19" t="n">
        <v>0.03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GDT1</t>
        </is>
      </c>
      <c r="D21" s="18" t="n">
        <v>1</v>
      </c>
      <c r="E21" s="16" t="inlineStr">
        <is>
          <t>GDT 230V</t>
        </is>
      </c>
      <c r="F21" s="16" t="inlineStr">
        <is>
          <t>GDT_Bourns_2038</t>
        </is>
      </c>
      <c r="G21" s="16" t="inlineStr">
        <is>
          <t>Bourns</t>
        </is>
      </c>
      <c r="H21" s="17" t="inlineStr">
        <is>
          <t>2038-23-SM-RPLF</t>
        </is>
      </c>
      <c r="I21" s="17" t="inlineStr">
        <is>
          <t>GDT 230 V SMD (회로 GND–외함)</t>
        </is>
      </c>
      <c r="J21" s="19" t="n">
        <v>0.4</v>
      </c>
      <c r="K21" s="19" t="n">
        <v>1</v>
      </c>
      <c r="L21" s="20">
        <f>D21*J21</f>
        <v/>
      </c>
      <c r="M21" s="20">
        <f>D21*K21</f>
        <v/>
      </c>
      <c r="N21" s="21" t="inlineStr">
        <is>
          <t>확인 필요</t>
        </is>
      </c>
    </row>
    <row r="22">
      <c r="A22" s="16" t="n">
        <v>21</v>
      </c>
      <c r="B22" s="16" t="inlineStr">
        <is>
          <t>커넥터</t>
        </is>
      </c>
      <c r="C22" s="17" t="inlineStr">
        <is>
          <t>J1</t>
        </is>
      </c>
      <c r="D22" s="18" t="n">
        <v>1</v>
      </c>
      <c r="E22" s="16" t="inlineStr">
        <is>
          <t>SM08B-GHS-TB</t>
        </is>
      </c>
      <c r="F22" s="16" t="inlineStr">
        <is>
          <t>JST_GH_SM08B-GHS-TB_1x08-1MP_P1.25mm_Horizontal</t>
        </is>
      </c>
      <c r="G22" s="16" t="inlineStr">
        <is>
          <t>JST</t>
        </is>
      </c>
      <c r="H22" s="17" t="inlineStr">
        <is>
          <t>SM08B-GHS-TB</t>
        </is>
      </c>
      <c r="I22" s="17" t="inlineStr">
        <is>
          <t>GH 1.25 mm 8핀 헤더, 옆 삽입(직각) SMD (M12 하네스 W-2, 정격 −25~+85 °C)</t>
        </is>
      </c>
      <c r="J22" s="19" t="n">
        <v>0.35</v>
      </c>
      <c r="K22" s="19" t="n">
        <v>0.8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생산</t>
        </is>
      </c>
      <c r="C23" s="17" t="inlineStr">
        <is>
          <t>J2</t>
        </is>
      </c>
      <c r="D23" s="18" t="n">
        <v>1</v>
      </c>
      <c r="E23" s="16" t="inlineStr">
        <is>
          <t>TC2030-IDC-NL</t>
        </is>
      </c>
      <c r="F23" s="16" t="inlineStr">
        <is>
          <t>Tag-Connect_TC2030-IDC-NL_2x03_P1.27mm_Vertical</t>
        </is>
      </c>
      <c r="G23" s="16" t="inlineStr">
        <is>
          <t>Tag-Connect</t>
        </is>
      </c>
      <c r="H23" s="17" t="inlineStr">
        <is>
          <t>(PCB 패드만)</t>
        </is>
      </c>
      <c r="I23" s="17" t="inlineStr">
        <is>
          <t>SWD 기록용 패드 — 부품 실장 없음</t>
        </is>
      </c>
      <c r="J23" s="19" t="n">
        <v>0</v>
      </c>
      <c r="K23" s="19" t="n">
        <v>0</v>
      </c>
      <c r="L23" s="20">
        <f>D23*J23</f>
        <v/>
      </c>
      <c r="M23" s="20">
        <f>D23*K23</f>
        <v/>
      </c>
      <c r="N23" s="16" t="inlineStr">
        <is>
          <t>확정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J3</t>
        </is>
      </c>
      <c r="D24" s="18" t="n">
        <v>1</v>
      </c>
      <c r="E24" s="16" t="inlineStr">
        <is>
          <t>SM04B-SRSS-TB</t>
        </is>
      </c>
      <c r="F24" s="16" t="inlineStr">
        <is>
          <t>JST_SH_SM04B-SRSS-TB_1x04-1MP_P1.00mm_Horizontal</t>
        </is>
      </c>
      <c r="G24" s="16" t="inlineStr">
        <is>
          <t>JST</t>
        </is>
      </c>
      <c r="H24" s="17" t="inlineStr">
        <is>
          <t>SM04B-SRSS-TB</t>
        </is>
      </c>
      <c r="I24" s="17" t="inlineStr">
        <is>
          <t>SH 1.0 mm 4핀 헤더, 옆 삽입(직각) SMD (센서 하네스 W-1, 정격 −25~+85 °C)</t>
        </is>
      </c>
      <c r="J24" s="19" t="n">
        <v>0.3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J5</t>
        </is>
      </c>
      <c r="D25" s="18" t="n">
        <v>1</v>
      </c>
      <c r="E25" s="16" t="inlineStr">
        <is>
          <t>Chassis contact</t>
        </is>
      </c>
      <c r="F25" s="16" t="inlineStr">
        <is>
          <t>Chassis_Spring_Contact</t>
        </is>
      </c>
      <c r="G25" s="16" t="inlineStr">
        <is>
          <t>TBD</t>
        </is>
      </c>
      <c r="H25" s="17" t="inlineStr">
        <is>
          <t>SMD 스프링 접점 (Würth WE-SECF 계열 등)</t>
        </is>
      </c>
      <c r="I25" s="17" t="inlineStr">
        <is>
          <t>PCB 가장자리 → 하우징 내면 샤시 접촉 (구 M12 쉘 핀 대체)</t>
        </is>
      </c>
      <c r="J25" s="19" t="n">
        <v>0.1</v>
      </c>
      <c r="K25" s="19" t="n">
        <v>0.4</v>
      </c>
      <c r="L25" s="20">
        <f>D25*J25</f>
        <v/>
      </c>
      <c r="M25" s="20">
        <f>D25*K25</f>
        <v/>
      </c>
      <c r="N25" s="22" t="inlineStr">
        <is>
          <t>TBD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L1</t>
        </is>
      </c>
      <c r="D26" s="18" t="n">
        <v>1</v>
      </c>
      <c r="E26" s="16" t="inlineStr">
        <is>
          <t>CMC 2x1mH 0.3A</t>
        </is>
      </c>
      <c r="F26" s="16" t="inlineStr">
        <is>
          <t>CMC_WE-SL</t>
        </is>
      </c>
      <c r="G26" s="16" t="inlineStr">
        <is>
          <t>Würth</t>
        </is>
      </c>
      <c r="H26" s="17" t="inlineStr">
        <is>
          <t>WE-SL2 계열 (품번 확인)</t>
        </is>
      </c>
      <c r="I26" s="17" t="inlineStr">
        <is>
          <t>공통모드 초크 2×1 mH, ≥0.3 A</t>
        </is>
      </c>
      <c r="J26" s="19" t="n">
        <v>0.3</v>
      </c>
      <c r="K26" s="19" t="n">
        <v>0.8</v>
      </c>
      <c r="L26" s="20">
        <f>D26*J26</f>
        <v/>
      </c>
      <c r="M26" s="20">
        <f>D26*K26</f>
        <v/>
      </c>
      <c r="N26" s="21" t="inlineStr">
        <is>
          <t>확인 필요</t>
        </is>
      </c>
    </row>
    <row r="27">
      <c r="A27" s="16" t="n">
        <v>26</v>
      </c>
      <c r="B27" s="16" t="inlineStr">
        <is>
          <t>전원</t>
        </is>
      </c>
      <c r="C27" s="17" t="inlineStr">
        <is>
          <t>L2</t>
        </is>
      </c>
      <c r="D27" s="18" t="n">
        <v>1</v>
      </c>
      <c r="E27" s="16" t="inlineStr">
        <is>
          <t>22uH</t>
        </is>
      </c>
      <c r="F27" s="16" t="inlineStr">
        <is>
          <t>L_4x4mm</t>
        </is>
      </c>
      <c r="G27" s="16" t="inlineStr">
        <is>
          <t>Coilcraft</t>
        </is>
      </c>
      <c r="H27" s="17" t="inlineStr">
        <is>
          <t>XGL4030-223ME (확인)</t>
        </is>
      </c>
      <c r="I27" s="17" t="inlineStr">
        <is>
          <t>파워 인덕터 22 uH, 4×4 mm, Isat ≥ 0.8 A</t>
        </is>
      </c>
      <c r="J27" s="19" t="n">
        <v>0.25</v>
      </c>
      <c r="K27" s="19" t="n">
        <v>0.6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R1</t>
        </is>
      </c>
      <c r="D28" s="18" t="n">
        <v>1</v>
      </c>
      <c r="E28" s="16" t="inlineStr">
        <is>
          <t>4.7R 1W pulse</t>
        </is>
      </c>
      <c r="F28" s="16" t="inlineStr">
        <is>
          <t>R_MELF_MMB-0207</t>
        </is>
      </c>
      <c r="G28" s="16" t="inlineStr">
        <is>
          <t>Vishay</t>
        </is>
      </c>
      <c r="H28" s="17" t="inlineStr">
        <is>
          <t>MMB 0207 4.7 Ω (품번 확인)</t>
        </is>
      </c>
      <c r="I28" s="17" t="inlineStr">
        <is>
          <t>MELF 펄스 저항 4.7 Ω 1 W (입력 직렬)</t>
        </is>
      </c>
      <c r="J28" s="19" t="n">
        <v>0.1</v>
      </c>
      <c r="K28" s="19" t="n">
        <v>0.3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수동</t>
        </is>
      </c>
      <c r="C29" s="17" t="inlineStr">
        <is>
          <t>R2</t>
        </is>
      </c>
      <c r="D29" s="18" t="n">
        <v>1</v>
      </c>
      <c r="E29" s="16" t="inlineStr">
        <is>
          <t>1M</t>
        </is>
      </c>
      <c r="F29" s="16" t="inlineStr">
        <is>
          <t>R_0603_1608Metric</t>
        </is>
      </c>
      <c r="G29" s="16" t="inlineStr">
        <is>
          <t>Yageo</t>
        </is>
      </c>
      <c r="H29" s="17" t="inlineStr">
        <is>
          <t>RC0603FR-071ML</t>
        </is>
      </c>
      <c r="I29" s="17" t="inlineStr">
        <is>
          <t>저항 1 MΩ 1% 0603</t>
        </is>
      </c>
      <c r="J29" s="19" t="n">
        <v>0.002</v>
      </c>
      <c r="K29" s="19" t="n">
        <v>0.005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R3</t>
        </is>
      </c>
      <c r="D30" s="18" t="n">
        <v>1</v>
      </c>
      <c r="E30" s="16" t="inlineStr">
        <is>
          <t>866k 1%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RC0603FR-07866KL</t>
        </is>
      </c>
      <c r="I30" s="17" t="inlineStr">
        <is>
          <t>저항 866 kΩ 1% 0603 (UVLO)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R4</t>
        </is>
      </c>
      <c r="D31" s="18" t="n">
        <v>1</v>
      </c>
      <c r="E31" s="16" t="inlineStr">
        <is>
          <t>97.6k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RC0603FR-0797K6L</t>
        </is>
      </c>
      <c r="I31" s="17" t="inlineStr">
        <is>
          <t>저항 97.6 kΩ 1% 0603 (UVLO/OVP)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R5</t>
        </is>
      </c>
      <c r="D32" s="18" t="n">
        <v>1</v>
      </c>
      <c r="E32" s="16" t="inlineStr">
        <is>
          <t>36.5k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RC0603FR-0736K5L</t>
        </is>
      </c>
      <c r="I32" s="17" t="inlineStr">
        <is>
          <t>저항 36.5 kΩ 1% 0603 (OVP)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R6</t>
        </is>
      </c>
      <c r="D33" s="18" t="n">
        <v>1</v>
      </c>
      <c r="E33" s="16" t="inlineStr">
        <is>
          <t>R_ILIM *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 (값 TBD)</t>
        </is>
      </c>
      <c r="I33" s="17" t="inlineStr">
        <is>
          <t>저항 1% 0603 — TPS2660 전류제한 150 mA 값 계산 필요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22" t="inlineStr">
        <is>
          <t>TBD</t>
        </is>
      </c>
    </row>
    <row r="34">
      <c r="A34" s="16" t="n">
        <v>33</v>
      </c>
      <c r="B34" s="16" t="inlineStr">
        <is>
          <t>수동</t>
        </is>
      </c>
      <c r="C34" s="17" t="inlineStr">
        <is>
          <t>R7 R31 R41</t>
        </is>
      </c>
      <c r="D34" s="18" t="n">
        <v>3</v>
      </c>
      <c r="E34" s="16" t="inlineStr">
        <is>
          <t>10k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RC0603FR-0710KL</t>
        </is>
      </c>
      <c r="I34" s="17" t="inlineStr">
        <is>
          <t>저항 10 kΩ 1% 0603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0.01% 5ppm</t>
        </is>
      </c>
      <c r="F38" s="16" t="inlineStr">
        <is>
          <t>R_0603_1608Metric</t>
        </is>
      </c>
      <c r="G38" s="16" t="inlineStr">
        <is>
          <t>Vishay / Susumu</t>
        </is>
      </c>
      <c r="H38" s="17" t="inlineStr">
        <is>
          <t>0.01% 5 ppm 박막 (품번 확인)</t>
        </is>
      </c>
      <c r="I38" s="17" t="inlineStr">
        <is>
          <t>Pt1000 기준저항 4.02 kΩ 0.01% 5 ppm/K 0603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21" t="inlineStr">
        <is>
          <t>확인 필요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R22</t>
        </is>
      </c>
      <c r="D39" s="18" t="n">
        <v>1</v>
      </c>
      <c r="E39" s="16" t="inlineStr">
        <is>
          <t>0R RTN link*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RC0603JR-070RL</t>
        </is>
      </c>
      <c r="I39" s="17" t="inlineStr">
        <is>
          <t>0 Ω 링크 — TPS2660 RTN 연결 확인 후 실장 여부 결정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보호</t>
        </is>
      </c>
      <c r="C40" s="17" t="inlineStr">
        <is>
          <t>R30 R40</t>
        </is>
      </c>
      <c r="D40" s="18" t="n">
        <v>2</v>
      </c>
      <c r="E40" s="16" t="inlineStr">
        <is>
          <t>10R pulse</t>
        </is>
      </c>
      <c r="F40" s="16" t="inlineStr">
        <is>
          <t>R_2512_6332Metric</t>
        </is>
      </c>
      <c r="G40" s="16" t="inlineStr">
        <is>
          <t>Vishay</t>
        </is>
      </c>
      <c r="H40" s="17" t="inlineStr">
        <is>
          <t>CRCW251210R0FKEGHP (확인)</t>
        </is>
      </c>
      <c r="I40" s="17" t="inlineStr">
        <is>
          <t>펄스 내성 저항 10 Ω 2512 (출력 직렬)</t>
        </is>
      </c>
      <c r="J40" s="19" t="n">
        <v>0.05</v>
      </c>
      <c r="K40" s="19" t="n">
        <v>0.15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출력</t>
        </is>
      </c>
      <c r="C41" s="17" t="inlineStr">
        <is>
          <t>R32 R42</t>
        </is>
      </c>
      <c r="D41" s="18" t="n">
        <v>2</v>
      </c>
      <c r="E41" s="16" t="inlineStr">
        <is>
          <t>15k 0.1% 25ppm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RT0603BRD0715KL</t>
        </is>
      </c>
      <c r="I41" s="17" t="inlineStr">
        <is>
          <t>저항 15 kΩ 0.1% 25 ppm/K 0603 (DAC8760 외부 ISET-R)</t>
        </is>
      </c>
      <c r="J41" s="19" t="n">
        <v>0.02</v>
      </c>
      <c r="K41" s="19" t="n">
        <v>0.06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R33</t>
        </is>
      </c>
      <c r="D42" s="18" t="n">
        <v>1</v>
      </c>
      <c r="E42" s="16" t="inlineStr">
        <is>
          <t>100k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RC0603FR-07100KL</t>
        </is>
      </c>
      <c r="I42" s="17" t="inlineStr">
        <is>
          <t>저항 100 kΩ 1% 0603 (DAC 데이지 체인 풀다운)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HTSSOP-24-1EP_4.4x7.8mm_P0.65mm_EP3.2x5mm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U12 U13</t>
        </is>
      </c>
      <c r="D52" s="18" t="n">
        <v>2</v>
      </c>
      <c r="E52" s="16" t="inlineStr">
        <is>
          <t>OPA197IDBVR</t>
        </is>
      </c>
      <c r="F52" s="16" t="inlineStr">
        <is>
          <t>SOT-23-5</t>
        </is>
      </c>
      <c r="G52" s="16" t="inlineStr">
        <is>
          <t>TI</t>
        </is>
      </c>
      <c r="H52" s="17" t="inlineStr">
        <is>
          <t>OPA197IDBVR</t>
        </is>
      </c>
      <c r="I52" s="17" t="inlineStr">
        <is>
          <t>36 V 레일투레일 연산증폭기 SOT-23-5 — DAC8760 +VSENSE 버퍼 (이득 1)</t>
        </is>
      </c>
      <c r="J52" s="19" t="n">
        <v>0.6</v>
      </c>
      <c r="K52" s="19" t="n">
        <v>1.1</v>
      </c>
      <c r="L52" s="20">
        <f>D52*J52</f>
        <v/>
      </c>
      <c r="M52" s="20">
        <f>D52*K52</f>
        <v/>
      </c>
      <c r="N52" s="16" t="inlineStr">
        <is>
          <t>제안</t>
        </is>
      </c>
    </row>
    <row r="53">
      <c r="A53" s="16" t="n">
        <v>52</v>
      </c>
      <c r="B53" s="16" t="inlineStr">
        <is>
          <t>기판</t>
        </is>
      </c>
      <c r="C53" s="17" t="inlineStr">
        <is>
          <t>PCB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-</t>
        </is>
      </c>
      <c r="H53" s="17" t="inlineStr">
        <is>
          <t>HMT500(260313A) (E-301)</t>
        </is>
      </c>
      <c r="I53" s="17" t="inlineStr">
        <is>
          <t>PCB 4층 57×23 mm, FR-4 1.6 t, ENIG (기구 Rev C 외곽)</t>
        </is>
      </c>
      <c r="J53" s="19" t="n">
        <v>0.8</v>
      </c>
      <c r="K53" s="19" t="n">
        <v>2</v>
      </c>
      <c r="L53" s="20">
        <f>D53*J53</f>
        <v/>
      </c>
      <c r="M53" s="20">
        <f>D53*K53</f>
        <v/>
      </c>
      <c r="N53" s="21" t="inlineStr">
        <is>
          <t>추정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MK33-W mini (150138)</t>
        </is>
      </c>
      <c r="I54" s="17" t="inlineStr">
        <is>
          <t>정전용량 습도 소자 200 pF (센서 프로브 P-202에 실장)</t>
        </is>
      </c>
      <c r="J54" s="19" t="n">
        <v>0</v>
      </c>
      <c r="K54" s="19" t="n">
        <v>0</v>
      </c>
      <c r="L54" s="20">
        <f>D54*J54</f>
        <v/>
      </c>
      <c r="M54" s="20">
        <f>D54*K54</f>
        <v/>
      </c>
      <c r="N54" s="21" t="inlineStr">
        <is>
          <t>사내 단가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MiniSens Pt1000 F0.1</t>
        </is>
      </c>
      <c r="I55" s="17" t="inlineStr">
        <is>
          <t>온도 소자 1.6×1.2 mm (센서 프로브 P-202에 실장)</t>
        </is>
      </c>
      <c r="J55" s="19" t="n">
        <v>0.5</v>
      </c>
      <c r="K55" s="19" t="n">
        <v>3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A56" s="16" t="n">
        <v>55</v>
      </c>
      <c r="B56" s="16" t="inlineStr">
        <is>
          <t>커넥터</t>
        </is>
      </c>
      <c r="C56" s="17" t="inlineStr">
        <is>
          <t>P-204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M Connect</t>
        </is>
      </c>
      <c r="H56" s="17" t="inlineStr">
        <is>
          <t>TBD (두텍 사용품)</t>
        </is>
      </c>
      <c r="I56" s="17" t="inlineStr">
        <is>
          <t>M12 8핀 수컷 전면 장착형 M16×1.5, 리드선형 (W-2 납땜)</t>
        </is>
      </c>
      <c r="J56" s="19" t="n">
        <v>2</v>
      </c>
      <c r="K56" s="19" t="n">
        <v>10</v>
      </c>
      <c r="L56" s="20">
        <f>D56*J56</f>
        <v/>
      </c>
      <c r="M56" s="20">
        <f>D56*K56</f>
        <v/>
      </c>
      <c r="N56" s="22" t="inlineStr">
        <is>
          <t>TBD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W-2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GHR-08V-S</t>
        </is>
      </c>
      <c r="I57" s="17" t="inlineStr">
        <is>
          <t>GH 1.25 mm 8핀 소켓 하우징 (M12 하네스 W-2)</t>
        </is>
      </c>
      <c r="J57" s="19" t="n">
        <v>0.06</v>
      </c>
      <c r="K57" s="19" t="n">
        <v>0.15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8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SSHL-002T-P0.2</t>
        </is>
      </c>
      <c r="I58" s="17" t="inlineStr">
        <is>
          <t>GH 크림프 단자 AWG 30–26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AWG28 전선</t>
        </is>
      </c>
      <c r="I59" s="17" t="inlineStr">
        <is>
          <t>UL1213 계열 200 °C, 8심 × 60 mm + 수축튜브 (M12 핀 납땜)</t>
        </is>
      </c>
      <c r="J59" s="19" t="n">
        <v>0.15</v>
      </c>
      <c r="K59" s="19" t="n">
        <v>0.4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W-1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JST</t>
        </is>
      </c>
      <c r="H60" s="17" t="inlineStr">
        <is>
          <t>SHR-04V-S</t>
        </is>
      </c>
      <c r="I60" s="17" t="inlineStr">
        <is>
          <t>SH 1.0 mm 4핀 소켓 하우징 (센서 하네스 W-1)</t>
        </is>
      </c>
      <c r="J60" s="19" t="n">
        <v>0.04</v>
      </c>
      <c r="K60" s="19" t="n">
        <v>0.1</v>
      </c>
      <c r="L60" s="20">
        <f>D60*J60</f>
        <v/>
      </c>
      <c r="M60" s="20">
        <f>D60*K60</f>
        <v/>
      </c>
      <c r="N60" s="16" t="inlineStr">
        <is>
          <t>제안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4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SSH-003T-P0.2-H</t>
        </is>
      </c>
      <c r="I61" s="17" t="inlineStr">
        <is>
          <t>SH 크림프 단자 AWG 32–28</t>
        </is>
      </c>
      <c r="J61" s="19" t="n">
        <v>0.03</v>
      </c>
      <c r="K61" s="19" t="n">
        <v>0.06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TBD</t>
        </is>
      </c>
      <c r="H62" s="17" t="inlineStr">
        <is>
          <t>PTFE AWG30 전선</t>
        </is>
      </c>
      <c r="I62" s="17" t="inlineStr">
        <is>
          <t>UL1213 계열 200 °C, 4심 × 60 mm (HTX99R 뒤 핀 납땜 + 수축튜브)</t>
        </is>
      </c>
      <c r="J62" s="19" t="n">
        <v>0.1</v>
      </c>
      <c r="K62" s="19" t="n">
        <v>0.3</v>
      </c>
      <c r="L62" s="20">
        <f>D62*J62</f>
        <v/>
      </c>
      <c r="M62" s="20">
        <f>D62*K62</f>
        <v/>
      </c>
      <c r="N62" s="21" t="inlineStr">
        <is>
          <t>추정</t>
        </is>
      </c>
    </row>
    <row r="63">
      <c r="A63" s="16" t="n">
        <v>62</v>
      </c>
      <c r="B63" s="16" t="inlineStr">
        <is>
          <t>조립</t>
        </is>
      </c>
      <c r="C63" s="17" t="inlineStr">
        <is>
          <t>-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-</t>
        </is>
      </c>
      <c r="H63" s="17" t="inlineStr">
        <is>
          <t>SMT 양면 실장</t>
        </is>
      </c>
      <c r="I63" s="17" t="inlineStr">
        <is>
          <t>1k 기준 조립비</t>
        </is>
      </c>
      <c r="J63" s="19" t="n">
        <v>2</v>
      </c>
      <c r="K63" s="19" t="n">
        <v>4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I64" s="3" t="inlineStr">
        <is>
          <t>합계 (1대분)</t>
        </is>
      </c>
      <c r="L64" s="23">
        <f>SUM(L2:L63)</f>
        <v/>
      </c>
      <c r="M64" s="23">
        <f>SUM(M2:M63)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2026-09-29T23:13:52Z</dcterms:created>
  <dcterms:modified xsi:type="dcterms:W3CDTF">2026-09-29T23:13:52Z</dcterms:modified>
</cp:coreProperties>
</file>