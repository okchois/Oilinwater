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부품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0;($#,##0.000);&quot;-&quot;"/>
    <numFmt numFmtId="165" formatCode="$#,##0.00"/>
    <numFmt numFmtId="166" formatCode="$#,##0.00;($#,##0.00);&quot;-&quot;"/>
    <numFmt numFmtId="167" formatCode="#,##0;(#,##0);&quot;-&quot;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4"/>
    </font>
    <font>
      <name val="Arial"/>
      <i val="1"/>
      <color rgb="00595959"/>
      <sz val="10"/>
    </font>
    <font>
      <name val="Arial"/>
      <color rgb="00595959"/>
      <sz val="9"/>
    </font>
    <font>
      <name val="Arial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3" fontId="3" fillId="5" borderId="0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8" fillId="0" borderId="1" pivotButton="0" quotePrefix="0" xfId="0"/>
    <xf numFmtId="166" fontId="8" fillId="0" borderId="1" pivotButton="0" quotePrefix="0" xfId="0"/>
    <xf numFmtId="167" fontId="2" fillId="0" borderId="1" pivotButton="0" quotePrefix="0" xfId="0"/>
    <xf numFmtId="0" fontId="4" fillId="0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/>
    </xf>
    <xf numFmtId="164" fontId="3" fillId="0" borderId="1" applyAlignment="1" pivotButton="0" quotePrefix="0" xfId="0">
      <alignment vertical="top"/>
    </xf>
    <xf numFmtId="164" fontId="2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165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HMT500</author>
  </authors>
  <commentList>
    <comment ref="J1" authorId="0" shapeId="0">
      <text>
        <t>1,000대 기준 추정 단가. 출처: docs/hw/bom-cost.md (유통사 검색가), MCU는 두텍 구매 이력(G0B1CCT6 2,060원/100개). 대리점 견적으로 확정.</t>
      </text>
    </comment>
  </commentList>
</comments>
</file>

<file path=xl/tables/table1.xml><?xml version="1.0" encoding="utf-8"?>
<table xmlns="http://schemas.openxmlformats.org/spreadsheetml/2006/main" id="1" name="PartsList" displayName="PartsList" ref="A1:N64" headerRowCount="1">
  <autoFilter ref="A1:N64"/>
  <tableColumns count="14">
    <tableColumn id="1" name="No"/>
    <tableColumn id="2" name="분류"/>
    <tableColumn id="3" name="참조번호"/>
    <tableColumn id="4" name="수량/대"/>
    <tableColumn id="5" name="값"/>
    <tableColumn id="6" name="풋프린트"/>
    <tableColumn id="7" name="제조사"/>
    <tableColumn id="8" name="품번"/>
    <tableColumn id="9" name="설명"/>
    <tableColumn id="10" name="단가 하한 (USD)"/>
    <tableColumn id="11" name="단가 상한 (USD)"/>
    <tableColumn id="12" name="금액 하한 (USD)"/>
    <tableColumn id="13" name="금액 상한 (USD)"/>
    <tableColumn id="14" name="상태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HMT500(260313A) 전자부 부품리스트 — 요약</t>
        </is>
      </c>
    </row>
    <row r="2">
      <c r="A2" s="2" t="inlineStr">
        <is>
          <t>회로도 v0.3 (KiCad) 기준 · 1대분 · 단가는 1k 추정 (파란 글씨 = 입력값)</t>
        </is>
      </c>
    </row>
    <row r="4">
      <c r="A4" s="3" t="inlineStr">
        <is>
          <t>환율 (원/USD)</t>
        </is>
      </c>
      <c r="B4" s="4" t="n">
        <v>1400</v>
      </c>
      <c r="C4" s="5" t="inlineStr">
        <is>
          <t>가정 — bom-cost.md 와 동일</t>
        </is>
      </c>
    </row>
    <row r="6">
      <c r="A6" s="6" t="inlineStr">
        <is>
          <t>분류</t>
        </is>
      </c>
      <c r="B6" s="6" t="inlineStr">
        <is>
          <t>품목 수</t>
        </is>
      </c>
      <c r="C6" s="6" t="inlineStr">
        <is>
          <t>금액 하한 (USD)</t>
        </is>
      </c>
      <c r="D6" s="6" t="inlineStr">
        <is>
          <t>금액 상한 (USD)</t>
        </is>
      </c>
      <c r="E6" s="6" t="inlineStr">
        <is>
          <t>금액 하한 (원)</t>
        </is>
      </c>
      <c r="F6" s="6" t="inlineStr">
        <is>
          <t>금액 상한 (원)</t>
        </is>
      </c>
    </row>
    <row r="7">
      <c r="A7" s="7" t="inlineStr">
        <is>
          <t>수동</t>
        </is>
      </c>
      <c r="B7" s="8">
        <f>COUNTIF('부품리스트'!$B$2:$B$64,A7)</f>
        <v/>
      </c>
      <c r="C7" s="9">
        <f>SUMIFS('부품리스트'!$L$2:$L$64,'부품리스트'!$B$2:$B$64,A7)</f>
        <v/>
      </c>
      <c r="D7" s="9">
        <f>SUMIFS('부품리스트'!$M$2:$M$64,'부품리스트'!$B$2:$B$64,A7)</f>
        <v/>
      </c>
      <c r="E7" s="10">
        <f>C7*$B$4</f>
        <v/>
      </c>
      <c r="F7" s="10">
        <f>D7*$B$4</f>
        <v/>
      </c>
    </row>
    <row r="8">
      <c r="A8" s="7" t="inlineStr">
        <is>
          <t>보호</t>
        </is>
      </c>
      <c r="B8" s="8">
        <f>COUNTIF('부품리스트'!$B$2:$B$64,A8)</f>
        <v/>
      </c>
      <c r="C8" s="9">
        <f>SUMIFS('부품리스트'!$L$2:$L$64,'부품리스트'!$B$2:$B$64,A8)</f>
        <v/>
      </c>
      <c r="D8" s="9">
        <f>SUMIFS('부품리스트'!$M$2:$M$64,'부품리스트'!$B$2:$B$64,A8)</f>
        <v/>
      </c>
      <c r="E8" s="10">
        <f>C8*$B$4</f>
        <v/>
      </c>
      <c r="F8" s="10">
        <f>D8*$B$4</f>
        <v/>
      </c>
    </row>
    <row r="9">
      <c r="A9" s="7" t="inlineStr">
        <is>
          <t>전원</t>
        </is>
      </c>
      <c r="B9" s="8">
        <f>COUNTIF('부품리스트'!$B$2:$B$64,A9)</f>
        <v/>
      </c>
      <c r="C9" s="9">
        <f>SUMIFS('부품리스트'!$L$2:$L$64,'부품리스트'!$B$2:$B$64,A9)</f>
        <v/>
      </c>
      <c r="D9" s="9">
        <f>SUMIFS('부품리스트'!$M$2:$M$64,'부품리스트'!$B$2:$B$64,A9)</f>
        <v/>
      </c>
      <c r="E9" s="10">
        <f>C9*$B$4</f>
        <v/>
      </c>
      <c r="F9" s="10">
        <f>D9*$B$4</f>
        <v/>
      </c>
    </row>
    <row r="10">
      <c r="A10" s="7" t="inlineStr">
        <is>
          <t>측정</t>
        </is>
      </c>
      <c r="B10" s="8">
        <f>COUNTIF('부품리스트'!$B$2:$B$64,A10)</f>
        <v/>
      </c>
      <c r="C10" s="9">
        <f>SUMIFS('부품리스트'!$L$2:$L$64,'부품리스트'!$B$2:$B$64,A10)</f>
        <v/>
      </c>
      <c r="D10" s="9">
        <f>SUMIFS('부품리스트'!$M$2:$M$64,'부품리스트'!$B$2:$B$64,A10)</f>
        <v/>
      </c>
      <c r="E10" s="10">
        <f>C10*$B$4</f>
        <v/>
      </c>
      <c r="F10" s="10">
        <f>D10*$B$4</f>
        <v/>
      </c>
    </row>
    <row r="11">
      <c r="A11" s="7" t="inlineStr">
        <is>
          <t>커넥터</t>
        </is>
      </c>
      <c r="B11" s="8">
        <f>COUNTIF('부품리스트'!$B$2:$B$64,A11)</f>
        <v/>
      </c>
      <c r="C11" s="9">
        <f>SUMIFS('부품리스트'!$L$2:$L$64,'부품리스트'!$B$2:$B$64,A11)</f>
        <v/>
      </c>
      <c r="D11" s="9">
        <f>SUMIFS('부품리스트'!$M$2:$M$64,'부품리스트'!$B$2:$B$64,A11)</f>
        <v/>
      </c>
      <c r="E11" s="10">
        <f>C11*$B$4</f>
        <v/>
      </c>
      <c r="F11" s="10">
        <f>D11*$B$4</f>
        <v/>
      </c>
    </row>
    <row r="12">
      <c r="A12" s="7" t="inlineStr">
        <is>
          <t>생산</t>
        </is>
      </c>
      <c r="B12" s="8">
        <f>COUNTIF('부품리스트'!$B$2:$B$64,A12)</f>
        <v/>
      </c>
      <c r="C12" s="9">
        <f>SUMIFS('부품리스트'!$L$2:$L$64,'부품리스트'!$B$2:$B$64,A12)</f>
        <v/>
      </c>
      <c r="D12" s="9">
        <f>SUMIFS('부품리스트'!$M$2:$M$64,'부품리스트'!$B$2:$B$64,A12)</f>
        <v/>
      </c>
      <c r="E12" s="10">
        <f>C12*$B$4</f>
        <v/>
      </c>
      <c r="F12" s="10">
        <f>D12*$B$4</f>
        <v/>
      </c>
    </row>
    <row r="13">
      <c r="A13" s="7" t="inlineStr">
        <is>
          <t>출력</t>
        </is>
      </c>
      <c r="B13" s="8">
        <f>COUNTIF('부품리스트'!$B$2:$B$64,A13)</f>
        <v/>
      </c>
      <c r="C13" s="9">
        <f>SUMIFS('부품리스트'!$L$2:$L$64,'부품리스트'!$B$2:$B$64,A13)</f>
        <v/>
      </c>
      <c r="D13" s="9">
        <f>SUMIFS('부품리스트'!$M$2:$M$64,'부품리스트'!$B$2:$B$64,A13)</f>
        <v/>
      </c>
      <c r="E13" s="10">
        <f>C13*$B$4</f>
        <v/>
      </c>
      <c r="F13" s="10">
        <f>D13*$B$4</f>
        <v/>
      </c>
    </row>
    <row r="14">
      <c r="A14" s="7" t="inlineStr">
        <is>
          <t>MCU</t>
        </is>
      </c>
      <c r="B14" s="8">
        <f>COUNTIF('부품리스트'!$B$2:$B$64,A14)</f>
        <v/>
      </c>
      <c r="C14" s="9">
        <f>SUMIFS('부품리스트'!$L$2:$L$64,'부품리스트'!$B$2:$B$64,A14)</f>
        <v/>
      </c>
      <c r="D14" s="9">
        <f>SUMIFS('부품리스트'!$M$2:$M$64,'부품리스트'!$B$2:$B$64,A14)</f>
        <v/>
      </c>
      <c r="E14" s="10">
        <f>C14*$B$4</f>
        <v/>
      </c>
      <c r="F14" s="10">
        <f>D14*$B$4</f>
        <v/>
      </c>
    </row>
    <row r="15">
      <c r="A15" s="7" t="inlineStr">
        <is>
          <t>통신</t>
        </is>
      </c>
      <c r="B15" s="8">
        <f>COUNTIF('부품리스트'!$B$2:$B$64,A15)</f>
        <v/>
      </c>
      <c r="C15" s="9">
        <f>SUMIFS('부품리스트'!$L$2:$L$64,'부품리스트'!$B$2:$B$64,A15)</f>
        <v/>
      </c>
      <c r="D15" s="9">
        <f>SUMIFS('부품리스트'!$M$2:$M$64,'부품리스트'!$B$2:$B$64,A15)</f>
        <v/>
      </c>
      <c r="E15" s="10">
        <f>C15*$B$4</f>
        <v/>
      </c>
      <c r="F15" s="10">
        <f>D15*$B$4</f>
        <v/>
      </c>
    </row>
    <row r="16">
      <c r="A16" s="7" t="inlineStr">
        <is>
          <t>기판</t>
        </is>
      </c>
      <c r="B16" s="8">
        <f>COUNTIF('부품리스트'!$B$2:$B$64,A16)</f>
        <v/>
      </c>
      <c r="C16" s="9">
        <f>SUMIFS('부품리스트'!$L$2:$L$64,'부품리스트'!$B$2:$B$64,A16)</f>
        <v/>
      </c>
      <c r="D16" s="9">
        <f>SUMIFS('부품리스트'!$M$2:$M$64,'부품리스트'!$B$2:$B$64,A16)</f>
        <v/>
      </c>
      <c r="E16" s="10">
        <f>C16*$B$4</f>
        <v/>
      </c>
      <c r="F16" s="10">
        <f>D16*$B$4</f>
        <v/>
      </c>
    </row>
    <row r="17">
      <c r="A17" s="7" t="inlineStr">
        <is>
          <t>센서</t>
        </is>
      </c>
      <c r="B17" s="8">
        <f>COUNTIF('부품리스트'!$B$2:$B$64,A17)</f>
        <v/>
      </c>
      <c r="C17" s="9">
        <f>SUMIFS('부품리스트'!$L$2:$L$64,'부품리스트'!$B$2:$B$64,A17)</f>
        <v/>
      </c>
      <c r="D17" s="9">
        <f>SUMIFS('부품리스트'!$M$2:$M$64,'부품리스트'!$B$2:$B$64,A17)</f>
        <v/>
      </c>
      <c r="E17" s="10">
        <f>C17*$B$4</f>
        <v/>
      </c>
      <c r="F17" s="10">
        <f>D17*$B$4</f>
        <v/>
      </c>
    </row>
    <row r="18">
      <c r="A18" s="7" t="inlineStr">
        <is>
          <t>하네스</t>
        </is>
      </c>
      <c r="B18" s="8">
        <f>COUNTIF('부품리스트'!$B$2:$B$64,A18)</f>
        <v/>
      </c>
      <c r="C18" s="9">
        <f>SUMIFS('부품리스트'!$L$2:$L$64,'부품리스트'!$B$2:$B$64,A18)</f>
        <v/>
      </c>
      <c r="D18" s="9">
        <f>SUMIFS('부품리스트'!$M$2:$M$64,'부품리스트'!$B$2:$B$64,A18)</f>
        <v/>
      </c>
      <c r="E18" s="10">
        <f>C18*$B$4</f>
        <v/>
      </c>
      <c r="F18" s="10">
        <f>D18*$B$4</f>
        <v/>
      </c>
    </row>
    <row r="19">
      <c r="A19" s="7" t="inlineStr">
        <is>
          <t>조립</t>
        </is>
      </c>
      <c r="B19" s="8">
        <f>COUNTIF('부품리스트'!$B$2:$B$64,A19)</f>
        <v/>
      </c>
      <c r="C19" s="9">
        <f>SUMIFS('부품리스트'!$L$2:$L$64,'부품리스트'!$B$2:$B$64,A19)</f>
        <v/>
      </c>
      <c r="D19" s="9">
        <f>SUMIFS('부품리스트'!$M$2:$M$64,'부품리스트'!$B$2:$B$64,A19)</f>
        <v/>
      </c>
      <c r="E19" s="10">
        <f>C19*$B$4</f>
        <v/>
      </c>
      <c r="F19" s="10">
        <f>D19*$B$4</f>
        <v/>
      </c>
    </row>
    <row r="20">
      <c r="A20" s="11" t="inlineStr">
        <is>
          <t>합계</t>
        </is>
      </c>
      <c r="B20" s="11">
        <f>SUM(B7:B19)</f>
        <v/>
      </c>
      <c r="C20" s="12">
        <f>SUM(C7:C19)</f>
        <v/>
      </c>
      <c r="D20" s="12">
        <f>SUM(D7:D19)</f>
        <v/>
      </c>
      <c r="E20" s="13">
        <f>SUM(E7:E19)</f>
        <v/>
      </c>
      <c r="F20" s="13">
        <f>SUM(F7:F19)</f>
        <v/>
      </c>
    </row>
    <row r="22">
      <c r="A22" s="3" t="inlineStr">
        <is>
          <t>읽는 법</t>
        </is>
      </c>
    </row>
    <row r="23">
      <c r="A23" s="14" t="inlineStr">
        <is>
          <t>· 부품리스트 시트의 참조번호·수량·값·풋프린트는 KiCad 회로도에서 자동 생성 (make_parts_list.py).</t>
        </is>
      </c>
    </row>
    <row r="24">
      <c r="A24" s="14" t="inlineStr">
        <is>
          <t>· 상태: 확정 = 회로도·품번 확정 / 제안 = 동등품 대체 가능 / 확인 필요 = 데이터시트·견적 확인 후 확정 / TBD = 미정.</t>
        </is>
      </c>
    </row>
    <row r="25">
      <c r="A25" s="14" t="inlineStr">
        <is>
          <t>· 제외: 기구 부품(바디·하우징·캡·엔드캡·홀더·O링·나사), 피드스루(HMT500-P-201)는 기구 부품표에 있음.</t>
        </is>
      </c>
    </row>
    <row r="26">
      <c r="A26" s="14" t="inlineStr">
        <is>
          <t>· 핀 번호 확인 대상 IC: 없음 — 전 IC 제조사 데이터시트로 핀 대조 완료 (회로도 v0.8, STM32는 KiCad 공식 심볼). TPS2660 RTN은 GND와 분리 (R22 삭제).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8" customWidth="1" min="2" max="2"/>
    <col width="26" customWidth="1" min="3" max="3"/>
    <col width="8" customWidth="1" min="4" max="4"/>
    <col width="16" customWidth="1" min="5" max="5"/>
    <col width="26" customWidth="1" min="6" max="6"/>
    <col width="12" customWidth="1" min="7" max="7"/>
    <col width="30" customWidth="1" min="8" max="8"/>
    <col width="48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</cols>
  <sheetData>
    <row r="1">
      <c r="A1" s="15" t="inlineStr">
        <is>
          <t>No</t>
        </is>
      </c>
      <c r="B1" s="15" t="inlineStr">
        <is>
          <t>분류</t>
        </is>
      </c>
      <c r="C1" s="15" t="inlineStr">
        <is>
          <t>참조번호</t>
        </is>
      </c>
      <c r="D1" s="15" t="inlineStr">
        <is>
          <t>수량/대</t>
        </is>
      </c>
      <c r="E1" s="15" t="inlineStr">
        <is>
          <t>값</t>
        </is>
      </c>
      <c r="F1" s="15" t="inlineStr">
        <is>
          <t>풋프린트</t>
        </is>
      </c>
      <c r="G1" s="15" t="inlineStr">
        <is>
          <t>제조사</t>
        </is>
      </c>
      <c r="H1" s="15" t="inlineStr">
        <is>
          <t>품번</t>
        </is>
      </c>
      <c r="I1" s="15" t="inlineStr">
        <is>
          <t>설명</t>
        </is>
      </c>
      <c r="J1" s="15" t="inlineStr">
        <is>
          <t>단가 하한 (USD)</t>
        </is>
      </c>
      <c r="K1" s="15" t="inlineStr">
        <is>
          <t>단가 상한 (USD)</t>
        </is>
      </c>
      <c r="L1" s="15" t="inlineStr">
        <is>
          <t>금액 하한 (USD)</t>
        </is>
      </c>
      <c r="M1" s="15" t="inlineStr">
        <is>
          <t>금액 상한 (USD)</t>
        </is>
      </c>
      <c r="N1" s="15" t="inlineStr">
        <is>
          <t>상태</t>
        </is>
      </c>
    </row>
    <row r="2">
      <c r="A2" s="16" t="n">
        <v>1</v>
      </c>
      <c r="B2" s="16" t="inlineStr">
        <is>
          <t>수동</t>
        </is>
      </c>
      <c r="C2" s="17" t="inlineStr">
        <is>
          <t>C1</t>
        </is>
      </c>
      <c r="D2" s="18" t="n">
        <v>1</v>
      </c>
      <c r="E2" s="16" t="inlineStr">
        <is>
          <t>100n 100V</t>
        </is>
      </c>
      <c r="F2" s="16" t="inlineStr">
        <is>
          <t>C_0805_2012Metric</t>
        </is>
      </c>
      <c r="G2" s="16" t="inlineStr">
        <is>
          <t>Murata</t>
        </is>
      </c>
      <c r="H2" s="17" t="inlineStr">
        <is>
          <t>GRM21BR72A104KA35L</t>
        </is>
      </c>
      <c r="I2" s="17" t="inlineStr">
        <is>
          <t>MLCC 100 nF 100 V X7R 0805</t>
        </is>
      </c>
      <c r="J2" s="19" t="n">
        <v>0.02</v>
      </c>
      <c r="K2" s="19" t="n">
        <v>0.05</v>
      </c>
      <c r="L2" s="20">
        <f>D2*J2</f>
        <v/>
      </c>
      <c r="M2" s="20">
        <f>D2*K2</f>
        <v/>
      </c>
      <c r="N2" s="16" t="inlineStr">
        <is>
          <t>제안</t>
        </is>
      </c>
    </row>
    <row r="3">
      <c r="A3" s="16" t="n">
        <v>2</v>
      </c>
      <c r="B3" s="16" t="inlineStr">
        <is>
          <t>보호</t>
        </is>
      </c>
      <c r="C3" s="17" t="inlineStr">
        <is>
          <t>C3</t>
        </is>
      </c>
      <c r="D3" s="18" t="n">
        <v>1</v>
      </c>
      <c r="E3" s="16" t="inlineStr">
        <is>
          <t>4.7n 2kV Y2</t>
        </is>
      </c>
      <c r="F3" s="16" t="inlineStr">
        <is>
          <t>C_1812_4532Metric</t>
        </is>
      </c>
      <c r="G3" s="16" t="inlineStr">
        <is>
          <t>Murata</t>
        </is>
      </c>
      <c r="H3" s="17" t="inlineStr">
        <is>
          <t>GA343QR7GF472KW01L</t>
        </is>
      </c>
      <c r="I3" s="17" t="inlineStr">
        <is>
          <t>Safety cap 4.7 nF Y2 (250 VAC) 1812</t>
        </is>
      </c>
      <c r="J3" s="19" t="n">
        <v>0.15</v>
      </c>
      <c r="K3" s="19" t="n">
        <v>0.4</v>
      </c>
      <c r="L3" s="20">
        <f>D3*J3</f>
        <v/>
      </c>
      <c r="M3" s="20">
        <f>D3*K3</f>
        <v/>
      </c>
      <c r="N3" s="16" t="inlineStr">
        <is>
          <t>제안</t>
        </is>
      </c>
    </row>
    <row r="4">
      <c r="A4" s="16" t="n">
        <v>3</v>
      </c>
      <c r="B4" s="16" t="inlineStr">
        <is>
          <t>수동</t>
        </is>
      </c>
      <c r="C4" s="17" t="inlineStr">
        <is>
          <t>C4</t>
        </is>
      </c>
      <c r="D4" s="18" t="n">
        <v>1</v>
      </c>
      <c r="E4" s="16" t="inlineStr">
        <is>
          <t>22n</t>
        </is>
      </c>
      <c r="F4" s="16" t="inlineStr">
        <is>
          <t>C_0603_1608Metric</t>
        </is>
      </c>
      <c r="G4" s="16" t="inlineStr">
        <is>
          <t>Murata</t>
        </is>
      </c>
      <c r="H4" s="17" t="inlineStr">
        <is>
          <t>GRM188R71H223KA01D</t>
        </is>
      </c>
      <c r="I4" s="17" t="inlineStr">
        <is>
          <t>MLCC 22 nF 50 V X7R 0603</t>
        </is>
      </c>
      <c r="J4" s="19" t="n">
        <v>0.004</v>
      </c>
      <c r="K4" s="19" t="n">
        <v>0.01</v>
      </c>
      <c r="L4" s="20">
        <f>D4*J4</f>
        <v/>
      </c>
      <c r="M4" s="20">
        <f>D4*K4</f>
        <v/>
      </c>
      <c r="N4" s="16" t="inlineStr">
        <is>
          <t>제안</t>
        </is>
      </c>
    </row>
    <row r="5">
      <c r="A5" s="16" t="n">
        <v>4</v>
      </c>
      <c r="B5" s="16" t="inlineStr">
        <is>
          <t>수동</t>
        </is>
      </c>
      <c r="C5" s="17" t="inlineStr">
        <is>
          <t>C5</t>
        </is>
      </c>
      <c r="D5" s="18" t="n">
        <v>1</v>
      </c>
      <c r="E5" s="16" t="inlineStr">
        <is>
          <t>10u 50V</t>
        </is>
      </c>
      <c r="F5" s="16" t="inlineStr">
        <is>
          <t>C_1210_3225Metric</t>
        </is>
      </c>
      <c r="G5" s="16" t="inlineStr">
        <is>
          <t>Murata</t>
        </is>
      </c>
      <c r="H5" s="17" t="inlineStr">
        <is>
          <t>GRM32ER71H106KA12L</t>
        </is>
      </c>
      <c r="I5" s="17" t="inlineStr">
        <is>
          <t>MLCC 10 uF 50 V X7R 1210</t>
        </is>
      </c>
      <c r="J5" s="19" t="n">
        <v>0.15</v>
      </c>
      <c r="K5" s="19" t="n">
        <v>0.35</v>
      </c>
      <c r="L5" s="20">
        <f>D5*J5</f>
        <v/>
      </c>
      <c r="M5" s="20">
        <f>D5*K5</f>
        <v/>
      </c>
      <c r="N5" s="16" t="inlineStr">
        <is>
          <t>제안</t>
        </is>
      </c>
    </row>
    <row r="6">
      <c r="A6" s="16" t="n">
        <v>5</v>
      </c>
      <c r="B6" s="16" t="inlineStr">
        <is>
          <t>전원</t>
        </is>
      </c>
      <c r="C6" s="17" t="inlineStr">
        <is>
          <t>C6 C10</t>
        </is>
      </c>
      <c r="D6" s="18" t="n">
        <v>2</v>
      </c>
      <c r="E6" s="16" t="inlineStr">
        <is>
          <t>22u 25V</t>
        </is>
      </c>
      <c r="F6" s="16" t="inlineStr">
        <is>
          <t>C_1206_3216Metric</t>
        </is>
      </c>
      <c r="G6" s="16" t="inlineStr">
        <is>
          <t>Murata</t>
        </is>
      </c>
      <c r="H6" s="17" t="inlineStr">
        <is>
          <t>GRM31CR61E226KE15L</t>
        </is>
      </c>
      <c r="I6" s="17" t="inlineStr">
        <is>
          <t>MLCC 22 uF 25 V X5R 1206 (벅 출력, 2개 — 데이터시트 COUT 2 × 15 µF 실효)</t>
        </is>
      </c>
      <c r="J6" s="19" t="n">
        <v>0.08</v>
      </c>
      <c r="K6" s="19" t="n">
        <v>0.18</v>
      </c>
      <c r="L6" s="20">
        <f>D6*J6</f>
        <v/>
      </c>
      <c r="M6" s="20">
        <f>D6*K6</f>
        <v/>
      </c>
      <c r="N6" s="16" t="inlineStr">
        <is>
          <t>제안</t>
        </is>
      </c>
    </row>
    <row r="7">
      <c r="A7" s="16" t="n">
        <v>6</v>
      </c>
      <c r="B7" s="16" t="inlineStr">
        <is>
          <t>수동</t>
        </is>
      </c>
      <c r="C7" s="17" t="inlineStr">
        <is>
          <t>C7</t>
        </is>
      </c>
      <c r="D7" s="18" t="n">
        <v>1</v>
      </c>
      <c r="E7" s="16" t="inlineStr">
        <is>
          <t>2.2u 100V</t>
        </is>
      </c>
      <c r="F7" s="16" t="inlineStr">
        <is>
          <t>C_1210_3225Metric</t>
        </is>
      </c>
      <c r="G7" s="16" t="inlineStr">
        <is>
          <t>Murata</t>
        </is>
      </c>
      <c r="H7" s="17" t="inlineStr">
        <is>
          <t>GRM32ER72A225KA35L</t>
        </is>
      </c>
      <c r="I7" s="17" t="inlineStr">
        <is>
          <t>MLCC 2.2 uF 100 V X7R 1210</t>
        </is>
      </c>
      <c r="J7" s="19" t="n">
        <v>0.15</v>
      </c>
      <c r="K7" s="19" t="n">
        <v>0.35</v>
      </c>
      <c r="L7" s="20">
        <f>D7*J7</f>
        <v/>
      </c>
      <c r="M7" s="20">
        <f>D7*K7</f>
        <v/>
      </c>
      <c r="N7" s="16" t="inlineStr">
        <is>
          <t>제안</t>
        </is>
      </c>
    </row>
    <row r="8">
      <c r="A8" s="16" t="n">
        <v>7</v>
      </c>
      <c r="B8" s="16" t="inlineStr">
        <is>
          <t>수동</t>
        </is>
      </c>
      <c r="C8" s="17" t="inlineStr">
        <is>
          <t>C8 C14 C15 C20 C21 C23 C28 C29 C36 C40 C44 C50 C54 C60</t>
        </is>
      </c>
      <c r="D8" s="18" t="n">
        <v>14</v>
      </c>
      <c r="E8" s="16" t="inlineStr">
        <is>
          <t>100n</t>
        </is>
      </c>
      <c r="F8" s="16" t="inlineStr">
        <is>
          <t>C_0603_1608Metric</t>
        </is>
      </c>
      <c r="G8" s="16" t="inlineStr">
        <is>
          <t>Murata</t>
        </is>
      </c>
      <c r="H8" s="17" t="inlineStr">
        <is>
          <t>GRM188R71H104KA93D</t>
        </is>
      </c>
      <c r="I8" s="17" t="inlineStr">
        <is>
          <t>MLCC 100 nF 50 V X7R 0603</t>
        </is>
      </c>
      <c r="J8" s="19" t="n">
        <v>0.004</v>
      </c>
      <c r="K8" s="19" t="n">
        <v>0.01</v>
      </c>
      <c r="L8" s="20">
        <f>D8*J8</f>
        <v/>
      </c>
      <c r="M8" s="20">
        <f>D8*K8</f>
        <v/>
      </c>
      <c r="N8" s="16" t="inlineStr">
        <is>
          <t>제안</t>
        </is>
      </c>
    </row>
    <row r="9">
      <c r="A9" s="16" t="n">
        <v>8</v>
      </c>
      <c r="B9" s="16" t="inlineStr">
        <is>
          <t>수동</t>
        </is>
      </c>
      <c r="C9" s="17" t="inlineStr">
        <is>
          <t>C9 C12</t>
        </is>
      </c>
      <c r="D9" s="18" t="n">
        <v>2</v>
      </c>
      <c r="E9" s="16" t="inlineStr">
        <is>
          <t>1u</t>
        </is>
      </c>
      <c r="F9" s="16" t="inlineStr">
        <is>
          <t>C_0603_1608Metric</t>
        </is>
      </c>
      <c r="G9" s="16" t="inlineStr">
        <is>
          <t>Murata</t>
        </is>
      </c>
      <c r="H9" s="17" t="inlineStr">
        <is>
          <t>GRM188R61E105KA12D</t>
        </is>
      </c>
      <c r="I9" s="17" t="inlineStr">
        <is>
          <t>MLCC 1 uF 25 V X5R 0603</t>
        </is>
      </c>
      <c r="J9" s="19" t="n">
        <v>0.005</v>
      </c>
      <c r="K9" s="19" t="n">
        <v>0.015</v>
      </c>
      <c r="L9" s="20">
        <f>D9*J9</f>
        <v/>
      </c>
      <c r="M9" s="20">
        <f>D9*K9</f>
        <v/>
      </c>
      <c r="N9" s="16" t="inlineStr">
        <is>
          <t>제안</t>
        </is>
      </c>
    </row>
    <row r="10">
      <c r="A10" s="16" t="n">
        <v>9</v>
      </c>
      <c r="B10" s="16" t="inlineStr">
        <is>
          <t>전원</t>
        </is>
      </c>
      <c r="C10" s="17" t="inlineStr">
        <is>
          <t>C11</t>
        </is>
      </c>
      <c r="D10" s="18" t="n">
        <v>1</v>
      </c>
      <c r="E10" s="16" t="inlineStr">
        <is>
          <t>20p C0G</t>
        </is>
      </c>
      <c r="F10" s="16" t="inlineStr">
        <is>
          <t>C_0603_1608Metric</t>
        </is>
      </c>
      <c r="G10" s="16" t="inlineStr">
        <is>
          <t>Murata</t>
        </is>
      </c>
      <c r="H10" s="17" t="inlineStr">
        <is>
          <t>GRM1885C1H200JA01D</t>
        </is>
      </c>
      <c r="I10" s="17" t="inlineStr">
        <is>
          <t>MLCC 20 pF 50 V C0G 0603 (벅 CFF)</t>
        </is>
      </c>
      <c r="J10" s="19" t="n">
        <v>0.003</v>
      </c>
      <c r="K10" s="19" t="n">
        <v>0.008</v>
      </c>
      <c r="L10" s="20">
        <f>D10*J10</f>
        <v/>
      </c>
      <c r="M10" s="20">
        <f>D10*K10</f>
        <v/>
      </c>
      <c r="N10" s="16" t="inlineStr">
        <is>
          <t>제안</t>
        </is>
      </c>
    </row>
    <row r="11">
      <c r="A11" s="16" t="n">
        <v>10</v>
      </c>
      <c r="B11" s="16" t="inlineStr">
        <is>
          <t>수동</t>
        </is>
      </c>
      <c r="C11" s="17" t="inlineStr">
        <is>
          <t>C13 C24</t>
        </is>
      </c>
      <c r="D11" s="18" t="n">
        <v>2</v>
      </c>
      <c r="E11" s="16" t="inlineStr">
        <is>
          <t>10u</t>
        </is>
      </c>
      <c r="F11" s="16" t="inlineStr">
        <is>
          <t>C_0805_2012Metric</t>
        </is>
      </c>
      <c r="G11" s="16" t="inlineStr">
        <is>
          <t>Murata</t>
        </is>
      </c>
      <c r="H11" s="17" t="inlineStr">
        <is>
          <t>GRM21BR61E106KA73L</t>
        </is>
      </c>
      <c r="I11" s="17" t="inlineStr">
        <is>
          <t>MLCC 10 uF 25 V X5R 0805</t>
        </is>
      </c>
      <c r="J11" s="19" t="n">
        <v>0.03</v>
      </c>
      <c r="K11" s="19" t="n">
        <v>0.08</v>
      </c>
      <c r="L11" s="20">
        <f>D11*J11</f>
        <v/>
      </c>
      <c r="M11" s="20">
        <f>D11*K11</f>
        <v/>
      </c>
      <c r="N11" s="16" t="inlineStr">
        <is>
          <t>제안</t>
        </is>
      </c>
    </row>
    <row r="12">
      <c r="A12" s="16" t="n">
        <v>11</v>
      </c>
      <c r="B12" s="16" t="inlineStr">
        <is>
          <t>수동</t>
        </is>
      </c>
      <c r="C12" s="17" t="inlineStr">
        <is>
          <t>C18 C25</t>
        </is>
      </c>
      <c r="D12" s="18" t="n">
        <v>2</v>
      </c>
      <c r="E12" s="16" t="inlineStr">
        <is>
          <t>4.7u</t>
        </is>
      </c>
      <c r="F12" s="16" t="inlineStr">
        <is>
          <t>C_0805_2012Metric</t>
        </is>
      </c>
      <c r="G12" s="16" t="inlineStr">
        <is>
          <t>Murata</t>
        </is>
      </c>
      <c r="H12" s="17" t="inlineStr">
        <is>
          <t>GRM21BR61E475KA12L</t>
        </is>
      </c>
      <c r="I12" s="17" t="inlineStr">
        <is>
          <t>MLCC 4.7 uF 25 V X5R 0805</t>
        </is>
      </c>
      <c r="J12" s="19" t="n">
        <v>0.02</v>
      </c>
      <c r="K12" s="19" t="n">
        <v>0.06</v>
      </c>
      <c r="L12" s="20">
        <f>D12*J12</f>
        <v/>
      </c>
      <c r="M12" s="20">
        <f>D12*K12</f>
        <v/>
      </c>
      <c r="N12" s="16" t="inlineStr">
        <is>
          <t>제안</t>
        </is>
      </c>
    </row>
    <row r="13">
      <c r="A13" s="16" t="n">
        <v>12</v>
      </c>
      <c r="B13" s="16" t="inlineStr">
        <is>
          <t>측정</t>
        </is>
      </c>
      <c r="C13" s="17" t="inlineStr">
        <is>
          <t>C22</t>
        </is>
      </c>
      <c r="D13" s="18" t="n">
        <v>1</v>
      </c>
      <c r="E13" s="16" t="inlineStr">
        <is>
          <t>220p C0G 1%</t>
        </is>
      </c>
      <c r="F13" s="16" t="inlineStr">
        <is>
          <t>C_0603_1608Metric</t>
        </is>
      </c>
      <c r="G13" s="16" t="inlineStr">
        <is>
          <t>Murata</t>
        </is>
      </c>
      <c r="H13" s="17" t="inlineStr">
        <is>
          <t>GRM1885C1H221FA01D</t>
        </is>
      </c>
      <c r="I13" s="17" t="inlineStr">
        <is>
          <t>MLCC 220 pF 50 V C0G ±1% 0603 (PCAP04 기준 C)</t>
        </is>
      </c>
      <c r="J13" s="19" t="n">
        <v>0.01</v>
      </c>
      <c r="K13" s="19" t="n">
        <v>0.04</v>
      </c>
      <c r="L13" s="20">
        <f>D13*J13</f>
        <v/>
      </c>
      <c r="M13" s="20">
        <f>D13*K13</f>
        <v/>
      </c>
      <c r="N13" s="16" t="inlineStr">
        <is>
          <t>제안</t>
        </is>
      </c>
    </row>
    <row r="14">
      <c r="A14" s="16" t="n">
        <v>13</v>
      </c>
      <c r="B14" s="16" t="inlineStr">
        <is>
          <t>수동</t>
        </is>
      </c>
      <c r="C14" s="17" t="inlineStr">
        <is>
          <t>C27</t>
        </is>
      </c>
      <c r="D14" s="18" t="n">
        <v>1</v>
      </c>
      <c r="E14" s="16" t="inlineStr">
        <is>
          <t>10n</t>
        </is>
      </c>
      <c r="F14" s="16" t="inlineStr">
        <is>
          <t>C_0603_1608Metric</t>
        </is>
      </c>
      <c r="G14" s="16" t="inlineStr">
        <is>
          <t>Murata</t>
        </is>
      </c>
      <c r="H14" s="17" t="inlineStr">
        <is>
          <t>GRM188R71H103KA01D</t>
        </is>
      </c>
      <c r="I14" s="17" t="inlineStr">
        <is>
          <t>MLCC 10 nF 50 V X7R 0603</t>
        </is>
      </c>
      <c r="J14" s="19" t="n">
        <v>0.003</v>
      </c>
      <c r="K14" s="19" t="n">
        <v>0.01</v>
      </c>
      <c r="L14" s="20">
        <f>D14*J14</f>
        <v/>
      </c>
      <c r="M14" s="20">
        <f>D14*K14</f>
        <v/>
      </c>
      <c r="N14" s="16" t="inlineStr">
        <is>
          <t>제안</t>
        </is>
      </c>
    </row>
    <row r="15">
      <c r="A15" s="16" t="n">
        <v>14</v>
      </c>
      <c r="B15" s="16" t="inlineStr">
        <is>
          <t>보호</t>
        </is>
      </c>
      <c r="C15" s="17" t="inlineStr">
        <is>
          <t>C41 C51</t>
        </is>
      </c>
      <c r="D15" s="18" t="n">
        <v>2</v>
      </c>
      <c r="E15" s="16" t="inlineStr">
        <is>
          <t>1n 100V</t>
        </is>
      </c>
      <c r="F15" s="16" t="inlineStr">
        <is>
          <t>C_0603_1608Metric</t>
        </is>
      </c>
      <c r="G15" s="16" t="inlineStr">
        <is>
          <t>Murata</t>
        </is>
      </c>
      <c r="H15" s="17" t="inlineStr">
        <is>
          <t>GRM188R72A102KA01D</t>
        </is>
      </c>
      <c r="I15" s="17" t="inlineStr">
        <is>
          <t>MLCC 1 nF 100 V X7R 0603</t>
        </is>
      </c>
      <c r="J15" s="19" t="n">
        <v>0.004</v>
      </c>
      <c r="K15" s="19" t="n">
        <v>0.01</v>
      </c>
      <c r="L15" s="20">
        <f>D15*J15</f>
        <v/>
      </c>
      <c r="M15" s="20">
        <f>D15*K15</f>
        <v/>
      </c>
      <c r="N15" s="16" t="inlineStr">
        <is>
          <t>제안</t>
        </is>
      </c>
    </row>
    <row r="16">
      <c r="A16" s="16" t="n">
        <v>15</v>
      </c>
      <c r="B16" s="16" t="inlineStr">
        <is>
          <t>수동</t>
        </is>
      </c>
      <c r="C16" s="17" t="inlineStr">
        <is>
          <t>C42 C45 C52 C55</t>
        </is>
      </c>
      <c r="D16" s="18" t="n">
        <v>4</v>
      </c>
      <c r="E16" s="16" t="inlineStr">
        <is>
          <t>100n 50V</t>
        </is>
      </c>
      <c r="F16" s="16" t="inlineStr">
        <is>
          <t>C_0805_2012Metric</t>
        </is>
      </c>
      <c r="G16" s="16" t="inlineStr">
        <is>
          <t>Murata</t>
        </is>
      </c>
      <c r="H16" s="17" t="inlineStr">
        <is>
          <t>GRM21BR71H104KA01L</t>
        </is>
      </c>
      <c r="I16" s="17" t="inlineStr">
        <is>
          <t>MLCC 100 nF 50 V X7R 0805</t>
        </is>
      </c>
      <c r="J16" s="19" t="n">
        <v>0.01</v>
      </c>
      <c r="K16" s="19" t="n">
        <v>0.03</v>
      </c>
      <c r="L16" s="20">
        <f>D16*J16</f>
        <v/>
      </c>
      <c r="M16" s="20">
        <f>D16*K16</f>
        <v/>
      </c>
      <c r="N16" s="16" t="inlineStr">
        <is>
          <t>제안</t>
        </is>
      </c>
    </row>
    <row r="17">
      <c r="A17" s="16" t="n">
        <v>16</v>
      </c>
      <c r="B17" s="16" t="inlineStr">
        <is>
          <t>수동</t>
        </is>
      </c>
      <c r="C17" s="17" t="inlineStr">
        <is>
          <t>C43</t>
        </is>
      </c>
      <c r="D17" s="18" t="n">
        <v>1</v>
      </c>
      <c r="E17" s="16" t="inlineStr">
        <is>
          <t>4.7u 50V</t>
        </is>
      </c>
      <c r="F17" s="16" t="inlineStr">
        <is>
          <t>C_1210_3225Metric</t>
        </is>
      </c>
      <c r="G17" s="16" t="inlineStr">
        <is>
          <t>Murata</t>
        </is>
      </c>
      <c r="H17" s="17" t="inlineStr">
        <is>
          <t>GRM32ER71H475KA88L</t>
        </is>
      </c>
      <c r="I17" s="17" t="inlineStr">
        <is>
          <t>MLCC 4.7 uF 50 V X7R 1210</t>
        </is>
      </c>
      <c r="J17" s="19" t="n">
        <v>0.1</v>
      </c>
      <c r="K17" s="19" t="n">
        <v>0.25</v>
      </c>
      <c r="L17" s="20">
        <f>D17*J17</f>
        <v/>
      </c>
      <c r="M17" s="20">
        <f>D17*K17</f>
        <v/>
      </c>
      <c r="N17" s="16" t="inlineStr">
        <is>
          <t>제안</t>
        </is>
      </c>
    </row>
    <row r="18">
      <c r="A18" s="16" t="n">
        <v>17</v>
      </c>
      <c r="B18" s="16" t="inlineStr">
        <is>
          <t>보호</t>
        </is>
      </c>
      <c r="C18" s="17" t="inlineStr">
        <is>
          <t>D1</t>
        </is>
      </c>
      <c r="D18" s="18" t="n">
        <v>1</v>
      </c>
      <c r="E18" s="16" t="inlineStr">
        <is>
          <t>SMDJ36CA</t>
        </is>
      </c>
      <c r="F18" s="16" t="inlineStr">
        <is>
          <t>D_SMC</t>
        </is>
      </c>
      <c r="G18" s="16" t="inlineStr">
        <is>
          <t>Littelfuse</t>
        </is>
      </c>
      <c r="H18" s="17" t="inlineStr">
        <is>
          <t>SMDJ36CA</t>
        </is>
      </c>
      <c r="I18" s="17" t="inlineStr">
        <is>
          <t>TVS 3000 W 36 V 양방향 SMC (입력 1단)</t>
        </is>
      </c>
      <c r="J18" s="19" t="n">
        <v>0.25</v>
      </c>
      <c r="K18" s="19" t="n">
        <v>0.6</v>
      </c>
      <c r="L18" s="20">
        <f>D18*J18</f>
        <v/>
      </c>
      <c r="M18" s="20">
        <f>D18*K18</f>
        <v/>
      </c>
      <c r="N18" s="16" t="inlineStr">
        <is>
          <t>제안</t>
        </is>
      </c>
    </row>
    <row r="19">
      <c r="A19" s="16" t="n">
        <v>18</v>
      </c>
      <c r="B19" s="16" t="inlineStr">
        <is>
          <t>보호</t>
        </is>
      </c>
      <c r="C19" s="17" t="inlineStr">
        <is>
          <t>D2</t>
        </is>
      </c>
      <c r="D19" s="18" t="n">
        <v>1</v>
      </c>
      <c r="E19" s="16" t="inlineStr">
        <is>
          <t>SMBJ33CA</t>
        </is>
      </c>
      <c r="F19" s="16" t="inlineStr">
        <is>
          <t>D_SMB</t>
        </is>
      </c>
      <c r="G19" s="16" t="inlineStr">
        <is>
          <t>Littelfuse</t>
        </is>
      </c>
      <c r="H19" s="17" t="inlineStr">
        <is>
          <t>SMBJ33CA</t>
        </is>
      </c>
      <c r="I19" s="17" t="inlineStr">
        <is>
          <t>TVS 600 W 33 V 양방향 SMB (입력 2단)</t>
        </is>
      </c>
      <c r="J19" s="19" t="n">
        <v>0.08</v>
      </c>
      <c r="K19" s="19" t="n">
        <v>0.2</v>
      </c>
      <c r="L19" s="20">
        <f>D19*J19</f>
        <v/>
      </c>
      <c r="M19" s="20">
        <f>D19*K19</f>
        <v/>
      </c>
      <c r="N19" s="16" t="inlineStr">
        <is>
          <t>제안</t>
        </is>
      </c>
    </row>
    <row r="20">
      <c r="A20" s="16" t="n">
        <v>19</v>
      </c>
      <c r="B20" s="16" t="inlineStr">
        <is>
          <t>보호</t>
        </is>
      </c>
      <c r="C20" s="17" t="inlineStr">
        <is>
          <t>D30 D40</t>
        </is>
      </c>
      <c r="D20" s="18" t="n">
        <v>2</v>
      </c>
      <c r="E20" s="16" t="inlineStr">
        <is>
          <t>TVS3301DRBR</t>
        </is>
      </c>
      <c r="F20" s="16" t="inlineStr">
        <is>
          <t>Texas_DRB0008A</t>
        </is>
      </c>
      <c r="G20" s="16" t="inlineStr">
        <is>
          <t>TI</t>
        </is>
      </c>
      <c r="H20" s="17" t="inlineStr">
        <is>
          <t>TVS3301DRBR</t>
        </is>
      </c>
      <c r="I20" s="17" t="inlineStr">
        <is>
          <t>평탄 클램프 TVS 33 V 양방향, 40 V @ 27 A, SON-8 3×3 (아날로그 출력, TPS2661 데이터시트 권장)</t>
        </is>
      </c>
      <c r="J20" s="19" t="n">
        <v>0.35</v>
      </c>
      <c r="K20" s="19" t="n">
        <v>0.6</v>
      </c>
      <c r="L20" s="20">
        <f>D20*J20</f>
        <v/>
      </c>
      <c r="M20" s="20">
        <f>D20*K20</f>
        <v/>
      </c>
      <c r="N20" s="16" t="inlineStr">
        <is>
          <t>제안</t>
        </is>
      </c>
    </row>
    <row r="21">
      <c r="A21" s="16" t="n">
        <v>20</v>
      </c>
      <c r="B21" s="16" t="inlineStr">
        <is>
          <t>수동</t>
        </is>
      </c>
      <c r="C21" s="17" t="inlineStr">
        <is>
          <t>FB1</t>
        </is>
      </c>
      <c r="D21" s="18" t="n">
        <v>1</v>
      </c>
      <c r="E21" s="16" t="inlineStr">
        <is>
          <t>600R@100MHz</t>
        </is>
      </c>
      <c r="F21" s="16" t="inlineStr">
        <is>
          <t>L_0603_1608Metric</t>
        </is>
      </c>
      <c r="G21" s="16" t="inlineStr">
        <is>
          <t>Murata</t>
        </is>
      </c>
      <c r="H21" s="17" t="inlineStr">
        <is>
          <t>BLM18KG601SN1D</t>
        </is>
      </c>
      <c r="I21" s="17" t="inlineStr">
        <is>
          <t>페라이트 비드 600 Ω@100 MHz 0603</t>
        </is>
      </c>
      <c r="J21" s="19" t="n">
        <v>0.01</v>
      </c>
      <c r="K21" s="19" t="n">
        <v>0.03</v>
      </c>
      <c r="L21" s="20">
        <f>D21*J21</f>
        <v/>
      </c>
      <c r="M21" s="20">
        <f>D21*K21</f>
        <v/>
      </c>
      <c r="N21" s="16" t="inlineStr">
        <is>
          <t>제안</t>
        </is>
      </c>
    </row>
    <row r="22">
      <c r="A22" s="16" t="n">
        <v>21</v>
      </c>
      <c r="B22" s="16" t="inlineStr">
        <is>
          <t>보호</t>
        </is>
      </c>
      <c r="C22" s="17" t="inlineStr">
        <is>
          <t>GDT1</t>
        </is>
      </c>
      <c r="D22" s="18" t="n">
        <v>1</v>
      </c>
      <c r="E22" s="16" t="inlineStr">
        <is>
          <t>GDT 230V</t>
        </is>
      </c>
      <c r="F22" s="16" t="inlineStr">
        <is>
          <t>GDT_Bourns_2038</t>
        </is>
      </c>
      <c r="G22" s="16" t="inlineStr">
        <is>
          <t>Bourns</t>
        </is>
      </c>
      <c r="H22" s="17" t="inlineStr">
        <is>
          <t>2038-23-SM-RPLF</t>
        </is>
      </c>
      <c r="I22" s="17" t="inlineStr">
        <is>
          <t>GDT 230 V SMD (회로 GND–외함)</t>
        </is>
      </c>
      <c r="J22" s="19" t="n">
        <v>0.4</v>
      </c>
      <c r="K22" s="19" t="n">
        <v>1</v>
      </c>
      <c r="L22" s="20">
        <f>D22*J22</f>
        <v/>
      </c>
      <c r="M22" s="20">
        <f>D22*K22</f>
        <v/>
      </c>
      <c r="N22" s="21" t="inlineStr">
        <is>
          <t>확인 필요</t>
        </is>
      </c>
    </row>
    <row r="23">
      <c r="A23" s="16" t="n">
        <v>22</v>
      </c>
      <c r="B23" s="16" t="inlineStr">
        <is>
          <t>커넥터</t>
        </is>
      </c>
      <c r="C23" s="17" t="inlineStr">
        <is>
          <t>J1</t>
        </is>
      </c>
      <c r="D23" s="18" t="n">
        <v>1</v>
      </c>
      <c r="E23" s="16" t="inlineStr">
        <is>
          <t>SM08B-GHS-TB</t>
        </is>
      </c>
      <c r="F23" s="16" t="inlineStr">
        <is>
          <t>JST_GH_SM08B-GHS-TB_1x08-1MP_P1.25mm_Horizontal</t>
        </is>
      </c>
      <c r="G23" s="16" t="inlineStr">
        <is>
          <t>JST</t>
        </is>
      </c>
      <c r="H23" s="17" t="inlineStr">
        <is>
          <t>SM08B-GHS-TB</t>
        </is>
      </c>
      <c r="I23" s="17" t="inlineStr">
        <is>
          <t>GH 1.25 mm 8핀 헤더, 옆 삽입(직각) SMD (M12 하네스 W-2, 정격 −25~+85 °C)</t>
        </is>
      </c>
      <c r="J23" s="19" t="n">
        <v>0.35</v>
      </c>
      <c r="K23" s="19" t="n">
        <v>0.8</v>
      </c>
      <c r="L23" s="20">
        <f>D23*J23</f>
        <v/>
      </c>
      <c r="M23" s="20">
        <f>D23*K23</f>
        <v/>
      </c>
      <c r="N23" s="16" t="inlineStr">
        <is>
          <t>제안</t>
        </is>
      </c>
    </row>
    <row r="24">
      <c r="A24" s="16" t="n">
        <v>23</v>
      </c>
      <c r="B24" s="16" t="inlineStr">
        <is>
          <t>생산</t>
        </is>
      </c>
      <c r="C24" s="17" t="inlineStr">
        <is>
          <t>J2</t>
        </is>
      </c>
      <c r="D24" s="18" t="n">
        <v>1</v>
      </c>
      <c r="E24" s="16" t="inlineStr">
        <is>
          <t>TC2030-IDC-NL</t>
        </is>
      </c>
      <c r="F24" s="16" t="inlineStr">
        <is>
          <t>Tag-Connect_TC2030-IDC-NL_2x03_P1.27mm_Vertical</t>
        </is>
      </c>
      <c r="G24" s="16" t="inlineStr">
        <is>
          <t>Tag-Connect</t>
        </is>
      </c>
      <c r="H24" s="17" t="inlineStr">
        <is>
          <t>(PCB 패드만)</t>
        </is>
      </c>
      <c r="I24" s="17" t="inlineStr">
        <is>
          <t>SWD 기록용 패드 — 부품 실장 없음</t>
        </is>
      </c>
      <c r="J24" s="19" t="n">
        <v>0</v>
      </c>
      <c r="K24" s="19" t="n">
        <v>0</v>
      </c>
      <c r="L24" s="20">
        <f>D24*J24</f>
        <v/>
      </c>
      <c r="M24" s="20">
        <f>D24*K24</f>
        <v/>
      </c>
      <c r="N24" s="16" t="inlineStr">
        <is>
          <t>확정</t>
        </is>
      </c>
    </row>
    <row r="25">
      <c r="A25" s="16" t="n">
        <v>24</v>
      </c>
      <c r="B25" s="16" t="inlineStr">
        <is>
          <t>커넥터</t>
        </is>
      </c>
      <c r="C25" s="17" t="inlineStr">
        <is>
          <t>J3</t>
        </is>
      </c>
      <c r="D25" s="18" t="n">
        <v>1</v>
      </c>
      <c r="E25" s="16" t="inlineStr">
        <is>
          <t>SM04B-SRSS-TB</t>
        </is>
      </c>
      <c r="F25" s="16" t="inlineStr">
        <is>
          <t>JST_SH_SM04B-SRSS-TB_1x04-1MP_P1.00mm_Horizontal</t>
        </is>
      </c>
      <c r="G25" s="16" t="inlineStr">
        <is>
          <t>JST</t>
        </is>
      </c>
      <c r="H25" s="17" t="inlineStr">
        <is>
          <t>SM04B-SRSS-TB</t>
        </is>
      </c>
      <c r="I25" s="17" t="inlineStr">
        <is>
          <t>SH 1.0 mm 4핀 헤더, 옆 삽입(직각) SMD (센서 하네스 W-1, 정격 −25~+85 °C)</t>
        </is>
      </c>
      <c r="J25" s="19" t="n">
        <v>0.3</v>
      </c>
      <c r="K25" s="19" t="n">
        <v>0.6</v>
      </c>
      <c r="L25" s="20">
        <f>D25*J25</f>
        <v/>
      </c>
      <c r="M25" s="20">
        <f>D25*K25</f>
        <v/>
      </c>
      <c r="N25" s="16" t="inlineStr">
        <is>
          <t>제안</t>
        </is>
      </c>
    </row>
    <row r="26">
      <c r="A26" s="16" t="n">
        <v>25</v>
      </c>
      <c r="B26" s="16" t="inlineStr">
        <is>
          <t>커넥터</t>
        </is>
      </c>
      <c r="C26" s="17" t="inlineStr">
        <is>
          <t>J5</t>
        </is>
      </c>
      <c r="D26" s="18" t="n">
        <v>1</v>
      </c>
      <c r="E26" s="16" t="inlineStr">
        <is>
          <t>Chassis contact</t>
        </is>
      </c>
      <c r="F26" s="16" t="inlineStr">
        <is>
          <t>Chassis_Spring_Contact</t>
        </is>
      </c>
      <c r="G26" s="16" t="inlineStr">
        <is>
          <t>TBD</t>
        </is>
      </c>
      <c r="H26" s="17" t="inlineStr">
        <is>
          <t>SMD 스프링 접점 (Würth WE-SECF 계열 등)</t>
        </is>
      </c>
      <c r="I26" s="17" t="inlineStr">
        <is>
          <t>PCB 가장자리 → 하우징 내면 샤시 접촉 (구 M12 쉘 핀 대체)</t>
        </is>
      </c>
      <c r="J26" s="19" t="n">
        <v>0.1</v>
      </c>
      <c r="K26" s="19" t="n">
        <v>0.4</v>
      </c>
      <c r="L26" s="20">
        <f>D26*J26</f>
        <v/>
      </c>
      <c r="M26" s="20">
        <f>D26*K26</f>
        <v/>
      </c>
      <c r="N26" s="22" t="inlineStr">
        <is>
          <t>TBD</t>
        </is>
      </c>
    </row>
    <row r="27">
      <c r="A27" s="16" t="n">
        <v>26</v>
      </c>
      <c r="B27" s="16" t="inlineStr">
        <is>
          <t>보호</t>
        </is>
      </c>
      <c r="C27" s="17" t="inlineStr">
        <is>
          <t>L1</t>
        </is>
      </c>
      <c r="D27" s="18" t="n">
        <v>1</v>
      </c>
      <c r="E27" s="16" t="inlineStr">
        <is>
          <t>CMC 2x1mH 0.3A</t>
        </is>
      </c>
      <c r="F27" s="16" t="inlineStr">
        <is>
          <t>CMC_WE-SL</t>
        </is>
      </c>
      <c r="G27" s="16" t="inlineStr">
        <is>
          <t>Würth</t>
        </is>
      </c>
      <c r="H27" s="17" t="inlineStr">
        <is>
          <t>WE-SL2 계열 (품번 확인)</t>
        </is>
      </c>
      <c r="I27" s="17" t="inlineStr">
        <is>
          <t>공통모드 초크 2×1 mH, ≥0.3 A</t>
        </is>
      </c>
      <c r="J27" s="19" t="n">
        <v>0.3</v>
      </c>
      <c r="K27" s="19" t="n">
        <v>0.8</v>
      </c>
      <c r="L27" s="20">
        <f>D27*J27</f>
        <v/>
      </c>
      <c r="M27" s="20">
        <f>D27*K27</f>
        <v/>
      </c>
      <c r="N27" s="21" t="inlineStr">
        <is>
          <t>확인 필요</t>
        </is>
      </c>
    </row>
    <row r="28">
      <c r="A28" s="16" t="n">
        <v>27</v>
      </c>
      <c r="B28" s="16" t="inlineStr">
        <is>
          <t>전원</t>
        </is>
      </c>
      <c r="C28" s="17" t="inlineStr">
        <is>
          <t>L2</t>
        </is>
      </c>
      <c r="D28" s="18" t="n">
        <v>1</v>
      </c>
      <c r="E28" s="16" t="inlineStr">
        <is>
          <t>15uH</t>
        </is>
      </c>
      <c r="F28" s="16" t="inlineStr">
        <is>
          <t>L_4x4mm</t>
        </is>
      </c>
      <c r="G28" s="16" t="inlineStr">
        <is>
          <t>Coilcraft</t>
        </is>
      </c>
      <c r="H28" s="17" t="inlineStr">
        <is>
          <t>XGL4030-153ME (확인)</t>
        </is>
      </c>
      <c r="I28" s="17" t="inlineStr">
        <is>
          <t>파워 인덕터 15 uH, 4×4 mm, Isat ≥ 0.8 A (LMR36006 5 V·1 MHz 권장값)</t>
        </is>
      </c>
      <c r="J28" s="19" t="n">
        <v>0.25</v>
      </c>
      <c r="K28" s="19" t="n">
        <v>0.6</v>
      </c>
      <c r="L28" s="20">
        <f>D28*J28</f>
        <v/>
      </c>
      <c r="M28" s="20">
        <f>D28*K28</f>
        <v/>
      </c>
      <c r="N28" s="21" t="inlineStr">
        <is>
          <t>확인 필요</t>
        </is>
      </c>
    </row>
    <row r="29">
      <c r="A29" s="16" t="n">
        <v>28</v>
      </c>
      <c r="B29" s="16" t="inlineStr">
        <is>
          <t>보호</t>
        </is>
      </c>
      <c r="C29" s="17" t="inlineStr">
        <is>
          <t>R1</t>
        </is>
      </c>
      <c r="D29" s="18" t="n">
        <v>1</v>
      </c>
      <c r="E29" s="16" t="inlineStr">
        <is>
          <t>4.7R 1W pulse</t>
        </is>
      </c>
      <c r="F29" s="16" t="inlineStr">
        <is>
          <t>R_MELF_MMB-0207</t>
        </is>
      </c>
      <c r="G29" s="16" t="inlineStr">
        <is>
          <t>Vishay</t>
        </is>
      </c>
      <c r="H29" s="17" t="inlineStr">
        <is>
          <t>MMB 0207 4.7 Ω (품번 확인)</t>
        </is>
      </c>
      <c r="I29" s="17" t="inlineStr">
        <is>
          <t>MELF 펄스 저항 4.7 Ω 1 W (입력 직렬)</t>
        </is>
      </c>
      <c r="J29" s="19" t="n">
        <v>0.1</v>
      </c>
      <c r="K29" s="19" t="n">
        <v>0.3</v>
      </c>
      <c r="L29" s="20">
        <f>D29*J29</f>
        <v/>
      </c>
      <c r="M29" s="20">
        <f>D29*K29</f>
        <v/>
      </c>
      <c r="N29" s="21" t="inlineStr">
        <is>
          <t>확인 필요</t>
        </is>
      </c>
    </row>
    <row r="30">
      <c r="A30" s="16" t="n">
        <v>29</v>
      </c>
      <c r="B30" s="16" t="inlineStr">
        <is>
          <t>수동</t>
        </is>
      </c>
      <c r="C30" s="17" t="inlineStr">
        <is>
          <t>R2</t>
        </is>
      </c>
      <c r="D30" s="18" t="n">
        <v>1</v>
      </c>
      <c r="E30" s="16" t="inlineStr">
        <is>
          <t>1M</t>
        </is>
      </c>
      <c r="F30" s="16" t="inlineStr">
        <is>
          <t>R_0603_1608Metric</t>
        </is>
      </c>
      <c r="G30" s="16" t="inlineStr">
        <is>
          <t>Yageo</t>
        </is>
      </c>
      <c r="H30" s="17" t="inlineStr">
        <is>
          <t>RC0603FR-071ML</t>
        </is>
      </c>
      <c r="I30" s="17" t="inlineStr">
        <is>
          <t>저항 1 MΩ 1% 0603</t>
        </is>
      </c>
      <c r="J30" s="19" t="n">
        <v>0.002</v>
      </c>
      <c r="K30" s="19" t="n">
        <v>0.005</v>
      </c>
      <c r="L30" s="20">
        <f>D30*J30</f>
        <v/>
      </c>
      <c r="M30" s="20">
        <f>D30*K30</f>
        <v/>
      </c>
      <c r="N30" s="16" t="inlineStr">
        <is>
          <t>제안</t>
        </is>
      </c>
    </row>
    <row r="31">
      <c r="A31" s="16" t="n">
        <v>30</v>
      </c>
      <c r="B31" s="16" t="inlineStr">
        <is>
          <t>전원</t>
        </is>
      </c>
      <c r="C31" s="17" t="inlineStr">
        <is>
          <t>R3</t>
        </is>
      </c>
      <c r="D31" s="18" t="n">
        <v>1</v>
      </c>
      <c r="E31" s="16" t="inlineStr">
        <is>
          <t>866k 1%</t>
        </is>
      </c>
      <c r="F31" s="16" t="inlineStr">
        <is>
          <t>R_0603_1608Metric</t>
        </is>
      </c>
      <c r="G31" s="16" t="inlineStr">
        <is>
          <t>Yageo</t>
        </is>
      </c>
      <c r="H31" s="17" t="inlineStr">
        <is>
          <t>RC0603FR-07866KL</t>
        </is>
      </c>
      <c r="I31" s="17" t="inlineStr">
        <is>
          <t>저항 866 kΩ 1% 0603 (UVLO)</t>
        </is>
      </c>
      <c r="J31" s="19" t="n">
        <v>0.002</v>
      </c>
      <c r="K31" s="19" t="n">
        <v>0.005</v>
      </c>
      <c r="L31" s="20">
        <f>D31*J31</f>
        <v/>
      </c>
      <c r="M31" s="20">
        <f>D31*K31</f>
        <v/>
      </c>
      <c r="N31" s="16" t="inlineStr">
        <is>
          <t>제안</t>
        </is>
      </c>
    </row>
    <row r="32">
      <c r="A32" s="16" t="n">
        <v>31</v>
      </c>
      <c r="B32" s="16" t="inlineStr">
        <is>
          <t>전원</t>
        </is>
      </c>
      <c r="C32" s="17" t="inlineStr">
        <is>
          <t>R4</t>
        </is>
      </c>
      <c r="D32" s="18" t="n">
        <v>1</v>
      </c>
      <c r="E32" s="16" t="inlineStr">
        <is>
          <t>97.6k 1%</t>
        </is>
      </c>
      <c r="F32" s="16" t="inlineStr">
        <is>
          <t>R_0603_1608Metric</t>
        </is>
      </c>
      <c r="G32" s="16" t="inlineStr">
        <is>
          <t>Yageo</t>
        </is>
      </c>
      <c r="H32" s="17" t="inlineStr">
        <is>
          <t>RC0603FR-0797K6L</t>
        </is>
      </c>
      <c r="I32" s="17" t="inlineStr">
        <is>
          <t>저항 97.6 kΩ 1% 0603 (UVLO/OVP)</t>
        </is>
      </c>
      <c r="J32" s="19" t="n">
        <v>0.002</v>
      </c>
      <c r="K32" s="19" t="n">
        <v>0.005</v>
      </c>
      <c r="L32" s="20">
        <f>D32*J32</f>
        <v/>
      </c>
      <c r="M32" s="20">
        <f>D32*K32</f>
        <v/>
      </c>
      <c r="N32" s="16" t="inlineStr">
        <is>
          <t>제안</t>
        </is>
      </c>
    </row>
    <row r="33">
      <c r="A33" s="16" t="n">
        <v>32</v>
      </c>
      <c r="B33" s="16" t="inlineStr">
        <is>
          <t>전원</t>
        </is>
      </c>
      <c r="C33" s="17" t="inlineStr">
        <is>
          <t>R5</t>
        </is>
      </c>
      <c r="D33" s="18" t="n">
        <v>1</v>
      </c>
      <c r="E33" s="16" t="inlineStr">
        <is>
          <t>41.2k 1%</t>
        </is>
      </c>
      <c r="F33" s="16" t="inlineStr">
        <is>
          <t>R_0603_1608Metric</t>
        </is>
      </c>
      <c r="G33" s="16" t="inlineStr">
        <is>
          <t>Yageo</t>
        </is>
      </c>
      <c r="H33" s="17" t="inlineStr">
        <is>
          <t>RC0603FR-0741K2L</t>
        </is>
      </c>
      <c r="I33" s="17" t="inlineStr">
        <is>
          <t>저항 41.2 kΩ 1% 0603 (OVP 29 V)</t>
        </is>
      </c>
      <c r="J33" s="19" t="n">
        <v>0.002</v>
      </c>
      <c r="K33" s="19" t="n">
        <v>0.005</v>
      </c>
      <c r="L33" s="20">
        <f>D33*J33</f>
        <v/>
      </c>
      <c r="M33" s="20">
        <f>D33*K33</f>
        <v/>
      </c>
      <c r="N33" s="16" t="inlineStr">
        <is>
          <t>제안</t>
        </is>
      </c>
    </row>
    <row r="34">
      <c r="A34" s="16" t="n">
        <v>33</v>
      </c>
      <c r="B34" s="16" t="inlineStr">
        <is>
          <t>전원</t>
        </is>
      </c>
      <c r="C34" s="17" t="inlineStr">
        <is>
          <t>R6</t>
        </is>
      </c>
      <c r="D34" s="18" t="n">
        <v>1</v>
      </c>
      <c r="E34" s="16" t="inlineStr">
        <is>
          <t>80.6k 1%</t>
        </is>
      </c>
      <c r="F34" s="16" t="inlineStr">
        <is>
          <t>R_0603_1608Metric</t>
        </is>
      </c>
      <c r="G34" s="16" t="inlineStr">
        <is>
          <t>Yageo</t>
        </is>
      </c>
      <c r="H34" s="17" t="inlineStr">
        <is>
          <t>RC0603FR-0780K6L</t>
        </is>
      </c>
      <c r="I34" s="17" t="inlineStr">
        <is>
          <t>저항 80.6 kΩ 1% 0603 (TPS2660 전류제한 149 mA = 12/R)</t>
        </is>
      </c>
      <c r="J34" s="19" t="n">
        <v>0.002</v>
      </c>
      <c r="K34" s="19" t="n">
        <v>0.005</v>
      </c>
      <c r="L34" s="20">
        <f>D34*J34</f>
        <v/>
      </c>
      <c r="M34" s="20">
        <f>D34*K34</f>
        <v/>
      </c>
      <c r="N34" s="16" t="inlineStr">
        <is>
          <t>제안</t>
        </is>
      </c>
    </row>
    <row r="35">
      <c r="A35" s="16" t="n">
        <v>34</v>
      </c>
      <c r="B35" s="16" t="inlineStr">
        <is>
          <t>전원</t>
        </is>
      </c>
      <c r="C35" s="17" t="inlineStr">
        <is>
          <t>R8</t>
        </is>
      </c>
      <c r="D35" s="18" t="n">
        <v>1</v>
      </c>
      <c r="E35" s="16" t="inlineStr">
        <is>
          <t>100k 1%</t>
        </is>
      </c>
      <c r="F35" s="16" t="inlineStr">
        <is>
          <t>R_0603_1608Metric</t>
        </is>
      </c>
      <c r="G35" s="16" t="inlineStr">
        <is>
          <t>Yageo</t>
        </is>
      </c>
      <c r="H35" s="17" t="inlineStr">
        <is>
          <t>RC0603FR-07100KL</t>
        </is>
      </c>
      <c r="I35" s="17" t="inlineStr">
        <is>
          <t>저항 100 kΩ 1% 0603 (벅 FB)</t>
        </is>
      </c>
      <c r="J35" s="19" t="n">
        <v>0.002</v>
      </c>
      <c r="K35" s="19" t="n">
        <v>0.005</v>
      </c>
      <c r="L35" s="20">
        <f>D35*J35</f>
        <v/>
      </c>
      <c r="M35" s="20">
        <f>D35*K35</f>
        <v/>
      </c>
      <c r="N35" s="16" t="inlineStr">
        <is>
          <t>제안</t>
        </is>
      </c>
    </row>
    <row r="36">
      <c r="A36" s="16" t="n">
        <v>35</v>
      </c>
      <c r="B36" s="16" t="inlineStr">
        <is>
          <t>전원</t>
        </is>
      </c>
      <c r="C36" s="17" t="inlineStr">
        <is>
          <t>R9</t>
        </is>
      </c>
      <c r="D36" s="18" t="n">
        <v>1</v>
      </c>
      <c r="E36" s="16" t="inlineStr">
        <is>
          <t>24.9k 1%</t>
        </is>
      </c>
      <c r="F36" s="16" t="inlineStr">
        <is>
          <t>R_0603_1608Metric</t>
        </is>
      </c>
      <c r="G36" s="16" t="inlineStr">
        <is>
          <t>Yageo</t>
        </is>
      </c>
      <c r="H36" s="17" t="inlineStr">
        <is>
          <t>RC0603FR-0724K9L</t>
        </is>
      </c>
      <c r="I36" s="17" t="inlineStr">
        <is>
          <t>저항 24.9 kΩ 1% 0603 (벅 FB)</t>
        </is>
      </c>
      <c r="J36" s="19" t="n">
        <v>0.002</v>
      </c>
      <c r="K36" s="19" t="n">
        <v>0.005</v>
      </c>
      <c r="L36" s="20">
        <f>D36*J36</f>
        <v/>
      </c>
      <c r="M36" s="20">
        <f>D36*K36</f>
        <v/>
      </c>
      <c r="N36" s="16" t="inlineStr">
        <is>
          <t>제안</t>
        </is>
      </c>
    </row>
    <row r="37">
      <c r="A37" s="16" t="n">
        <v>36</v>
      </c>
      <c r="B37" s="16" t="inlineStr">
        <is>
          <t>수동</t>
        </is>
      </c>
      <c r="C37" s="17" t="inlineStr">
        <is>
          <t>R17 R18 R20</t>
        </is>
      </c>
      <c r="D37" s="18" t="n">
        <v>3</v>
      </c>
      <c r="E37" s="16" t="inlineStr">
        <is>
          <t>1k</t>
        </is>
      </c>
      <c r="F37" s="16" t="inlineStr">
        <is>
          <t>R_0603_1608Metric</t>
        </is>
      </c>
      <c r="G37" s="16" t="inlineStr">
        <is>
          <t>Yageo</t>
        </is>
      </c>
      <c r="H37" s="17" t="inlineStr">
        <is>
          <t>RC0603FR-071KL</t>
        </is>
      </c>
      <c r="I37" s="17" t="inlineStr">
        <is>
          <t>저항 1 kΩ 1% 0603</t>
        </is>
      </c>
      <c r="J37" s="19" t="n">
        <v>0.002</v>
      </c>
      <c r="K37" s="19" t="n">
        <v>0.005</v>
      </c>
      <c r="L37" s="20">
        <f>D37*J37</f>
        <v/>
      </c>
      <c r="M37" s="20">
        <f>D37*K37</f>
        <v/>
      </c>
      <c r="N37" s="16" t="inlineStr">
        <is>
          <t>제안</t>
        </is>
      </c>
    </row>
    <row r="38">
      <c r="A38" s="16" t="n">
        <v>37</v>
      </c>
      <c r="B38" s="16" t="inlineStr">
        <is>
          <t>측정</t>
        </is>
      </c>
      <c r="C38" s="17" t="inlineStr">
        <is>
          <t>R19</t>
        </is>
      </c>
      <c r="D38" s="18" t="n">
        <v>1</v>
      </c>
      <c r="E38" s="16" t="inlineStr">
        <is>
          <t>4.02k 0.01% 5ppm</t>
        </is>
      </c>
      <c r="F38" s="16" t="inlineStr">
        <is>
          <t>R_0603_1608Metric</t>
        </is>
      </c>
      <c r="G38" s="16" t="inlineStr">
        <is>
          <t>Vishay / Susumu</t>
        </is>
      </c>
      <c r="H38" s="17" t="inlineStr">
        <is>
          <t>0.01% 5 ppm 박막 (품번 확인)</t>
        </is>
      </c>
      <c r="I38" s="17" t="inlineStr">
        <is>
          <t>Pt1000 기준저항 4.02 kΩ 0.01% 5 ppm/K 0603</t>
        </is>
      </c>
      <c r="J38" s="19" t="n">
        <v>1</v>
      </c>
      <c r="K38" s="19" t="n">
        <v>4</v>
      </c>
      <c r="L38" s="20">
        <f>D38*J38</f>
        <v/>
      </c>
      <c r="M38" s="20">
        <f>D38*K38</f>
        <v/>
      </c>
      <c r="N38" s="21" t="inlineStr">
        <is>
          <t>확인 필요</t>
        </is>
      </c>
    </row>
    <row r="39">
      <c r="A39" s="16" t="n">
        <v>38</v>
      </c>
      <c r="B39" s="16" t="inlineStr">
        <is>
          <t>보호</t>
        </is>
      </c>
      <c r="C39" s="17" t="inlineStr">
        <is>
          <t>R30 R40</t>
        </is>
      </c>
      <c r="D39" s="18" t="n">
        <v>2</v>
      </c>
      <c r="E39" s="16" t="inlineStr">
        <is>
          <t>10R pulse</t>
        </is>
      </c>
      <c r="F39" s="16" t="inlineStr">
        <is>
          <t>R_2512_6332Metric</t>
        </is>
      </c>
      <c r="G39" s="16" t="inlineStr">
        <is>
          <t>Vishay</t>
        </is>
      </c>
      <c r="H39" s="17" t="inlineStr">
        <is>
          <t>CRCW251210R0FKEGHP (확인)</t>
        </is>
      </c>
      <c r="I39" s="17" t="inlineStr">
        <is>
          <t>펄스 내성 저항 10 Ω 2512 (출력 직렬)</t>
        </is>
      </c>
      <c r="J39" s="19" t="n">
        <v>0.05</v>
      </c>
      <c r="K39" s="19" t="n">
        <v>0.15</v>
      </c>
      <c r="L39" s="20">
        <f>D39*J39</f>
        <v/>
      </c>
      <c r="M39" s="20">
        <f>D39*K39</f>
        <v/>
      </c>
      <c r="N39" s="21" t="inlineStr">
        <is>
          <t>확인 필요</t>
        </is>
      </c>
    </row>
    <row r="40">
      <c r="A40" s="16" t="n">
        <v>39</v>
      </c>
      <c r="B40" s="16" t="inlineStr">
        <is>
          <t>수동</t>
        </is>
      </c>
      <c r="C40" s="17" t="inlineStr">
        <is>
          <t>R31 R33 R41</t>
        </is>
      </c>
      <c r="D40" s="18" t="n">
        <v>3</v>
      </c>
      <c r="E40" s="16" t="inlineStr">
        <is>
          <t>10k</t>
        </is>
      </c>
      <c r="F40" s="16" t="inlineStr">
        <is>
          <t>R_0603_1608Metric</t>
        </is>
      </c>
      <c r="G40" s="16" t="inlineStr">
        <is>
          <t>Yageo</t>
        </is>
      </c>
      <c r="H40" s="17" t="inlineStr">
        <is>
          <t>RC0603FR-0710KL</t>
        </is>
      </c>
      <c r="I40" s="17" t="inlineStr">
        <is>
          <t>저항 10 kΩ 1% 0603</t>
        </is>
      </c>
      <c r="J40" s="19" t="n">
        <v>0.002</v>
      </c>
      <c r="K40" s="19" t="n">
        <v>0.005</v>
      </c>
      <c r="L40" s="20">
        <f>D40*J40</f>
        <v/>
      </c>
      <c r="M40" s="20">
        <f>D40*K40</f>
        <v/>
      </c>
      <c r="N40" s="16" t="inlineStr">
        <is>
          <t>제안</t>
        </is>
      </c>
    </row>
    <row r="41">
      <c r="A41" s="16" t="n">
        <v>40</v>
      </c>
      <c r="B41" s="16" t="inlineStr">
        <is>
          <t>출력</t>
        </is>
      </c>
      <c r="C41" s="17" t="inlineStr">
        <is>
          <t>R32 R42</t>
        </is>
      </c>
      <c r="D41" s="18" t="n">
        <v>2</v>
      </c>
      <c r="E41" s="16" t="inlineStr">
        <is>
          <t>15k 0.1% 25ppm</t>
        </is>
      </c>
      <c r="F41" s="16" t="inlineStr">
        <is>
          <t>R_0603_1608Metric</t>
        </is>
      </c>
      <c r="G41" s="16" t="inlineStr">
        <is>
          <t>Yageo</t>
        </is>
      </c>
      <c r="H41" s="17" t="inlineStr">
        <is>
          <t>RT0603BRD0715KL</t>
        </is>
      </c>
      <c r="I41" s="17" t="inlineStr">
        <is>
          <t>저항 15 kΩ 0.1% 25 ppm/K 0603 (DAC8760 외부 ISET-R)</t>
        </is>
      </c>
      <c r="J41" s="19" t="n">
        <v>0.02</v>
      </c>
      <c r="K41" s="19" t="n">
        <v>0.06</v>
      </c>
      <c r="L41" s="20">
        <f>D41*J41</f>
        <v/>
      </c>
      <c r="M41" s="20">
        <f>D41*K41</f>
        <v/>
      </c>
      <c r="N41" s="16" t="inlineStr">
        <is>
          <t>제안</t>
        </is>
      </c>
    </row>
    <row r="42">
      <c r="A42" s="16" t="n">
        <v>41</v>
      </c>
      <c r="B42" s="16" t="inlineStr">
        <is>
          <t>출력</t>
        </is>
      </c>
      <c r="C42" s="17" t="inlineStr">
        <is>
          <t>R34 R44</t>
        </is>
      </c>
      <c r="D42" s="18" t="n">
        <v>2</v>
      </c>
      <c r="E42" s="16" t="inlineStr">
        <is>
          <t>10R</t>
        </is>
      </c>
      <c r="F42" s="16" t="inlineStr">
        <is>
          <t>R_0603_1608Metric</t>
        </is>
      </c>
      <c r="G42" s="16" t="inlineStr">
        <is>
          <t>Yageo</t>
        </is>
      </c>
      <c r="H42" s="17" t="inlineStr">
        <is>
          <t>RC0603FR-0710RL</t>
        </is>
      </c>
      <c r="I42" s="17" t="inlineStr">
        <is>
          <t>저항 10 Ω 1% 0603 (DAC8760 AVDD 직렬, 데이터시트 10장)</t>
        </is>
      </c>
      <c r="J42" s="19" t="n">
        <v>0.002</v>
      </c>
      <c r="K42" s="19" t="n">
        <v>0.005</v>
      </c>
      <c r="L42" s="20">
        <f>D42*J42</f>
        <v/>
      </c>
      <c r="M42" s="20">
        <f>D42*K42</f>
        <v/>
      </c>
      <c r="N42" s="16" t="inlineStr">
        <is>
          <t>제안</t>
        </is>
      </c>
    </row>
    <row r="43">
      <c r="A43" s="16" t="n">
        <v>42</v>
      </c>
      <c r="B43" s="16" t="inlineStr">
        <is>
          <t>전원</t>
        </is>
      </c>
      <c r="C43" s="17" t="inlineStr">
        <is>
          <t>U1</t>
        </is>
      </c>
      <c r="D43" s="18" t="n">
        <v>1</v>
      </c>
      <c r="E43" s="16" t="inlineStr">
        <is>
          <t>TPS26600PWPR</t>
        </is>
      </c>
      <c r="F43" s="16" t="inlineStr">
        <is>
          <t>HTSSOP-16-1EP_4.4x5mm_P0.65mm_EP3.4x5mm_Mask2.66x2.46mm_ThermalVias</t>
        </is>
      </c>
      <c r="G43" s="16" t="inlineStr">
        <is>
          <t>TI</t>
        </is>
      </c>
      <c r="H43" s="17" t="inlineStr">
        <is>
          <t>TPS26600PWPR</t>
        </is>
      </c>
      <c r="I43" s="17" t="inlineStr">
        <is>
          <t>eFuse 60 V 2 A, 역극성·OVP·UVLO, HTSSOP-16</t>
        </is>
      </c>
      <c r="J43" s="19" t="n">
        <v>1.5</v>
      </c>
      <c r="K43" s="19" t="n">
        <v>3</v>
      </c>
      <c r="L43" s="20">
        <f>D43*J43</f>
        <v/>
      </c>
      <c r="M43" s="20">
        <f>D43*K43</f>
        <v/>
      </c>
      <c r="N43" s="16" t="inlineStr">
        <is>
          <t>확정</t>
        </is>
      </c>
    </row>
    <row r="44">
      <c r="A44" s="16" t="n">
        <v>43</v>
      </c>
      <c r="B44" s="16" t="inlineStr">
        <is>
          <t>전원</t>
        </is>
      </c>
      <c r="C44" s="17" t="inlineStr">
        <is>
          <t>U2</t>
        </is>
      </c>
      <c r="D44" s="18" t="n">
        <v>1</v>
      </c>
      <c r="E44" s="16" t="inlineStr">
        <is>
          <t>LMR36006BRNXR</t>
        </is>
      </c>
      <c r="F44" s="16" t="inlineStr">
        <is>
          <t>Texas_RNX0012A_VQFN-HR-12_2x3mm</t>
        </is>
      </c>
      <c r="G44" s="16" t="inlineStr">
        <is>
          <t>TI</t>
        </is>
      </c>
      <c r="H44" s="17" t="inlineStr">
        <is>
          <t>LMR36006BRNXR</t>
        </is>
      </c>
      <c r="I44" s="17" t="inlineStr">
        <is>
          <t>벅 60 V 0.6 A → 5 V, 1 MHz 조정형, VQFN-HR 12핀 2×3 mm</t>
        </is>
      </c>
      <c r="J44" s="19" t="n">
        <v>1</v>
      </c>
      <c r="K44" s="19" t="n">
        <v>1.6</v>
      </c>
      <c r="L44" s="20">
        <f>D44*J44</f>
        <v/>
      </c>
      <c r="M44" s="20">
        <f>D44*K44</f>
        <v/>
      </c>
      <c r="N44" s="16" t="inlineStr">
        <is>
          <t>확정</t>
        </is>
      </c>
    </row>
    <row r="45">
      <c r="A45" s="16" t="n">
        <v>44</v>
      </c>
      <c r="B45" s="16" t="inlineStr">
        <is>
          <t>전원</t>
        </is>
      </c>
      <c r="C45" s="17" t="inlineStr">
        <is>
          <t>U3</t>
        </is>
      </c>
      <c r="D45" s="18" t="n">
        <v>1</v>
      </c>
      <c r="E45" s="16" t="inlineStr">
        <is>
          <t>TPS7A2033PDBVR</t>
        </is>
      </c>
      <c r="F45" s="16" t="inlineStr">
        <is>
          <t>SOT-23-5</t>
        </is>
      </c>
      <c r="G45" s="16" t="inlineStr">
        <is>
          <t>TI</t>
        </is>
      </c>
      <c r="H45" s="17" t="inlineStr">
        <is>
          <t>TPS7A2033PDBVR</t>
        </is>
      </c>
      <c r="I45" s="17" t="inlineStr">
        <is>
          <t>LDO 3.3 V 300 mA 저잡음 SOT-23-5</t>
        </is>
      </c>
      <c r="J45" s="19" t="n">
        <v>0.07000000000000001</v>
      </c>
      <c r="K45" s="19" t="n">
        <v>0.3</v>
      </c>
      <c r="L45" s="20">
        <f>D45*J45</f>
        <v/>
      </c>
      <c r="M45" s="20">
        <f>D45*K45</f>
        <v/>
      </c>
      <c r="N45" s="16" t="inlineStr">
        <is>
          <t>확정</t>
        </is>
      </c>
    </row>
    <row r="46">
      <c r="A46" s="16" t="n">
        <v>45</v>
      </c>
      <c r="B46" s="16" t="inlineStr">
        <is>
          <t>MCU</t>
        </is>
      </c>
      <c r="C46" s="17" t="inlineStr">
        <is>
          <t>U4</t>
        </is>
      </c>
      <c r="D46" s="18" t="n">
        <v>1</v>
      </c>
      <c r="E46" s="16" t="inlineStr">
        <is>
          <t>STM32G0B1CCT3</t>
        </is>
      </c>
      <c r="F46" s="16" t="inlineStr">
        <is>
          <t>LQFP-48_7x7mm_P0.5mm</t>
        </is>
      </c>
      <c r="G46" s="16" t="inlineStr">
        <is>
          <t>ST</t>
        </is>
      </c>
      <c r="H46" s="17" t="inlineStr">
        <is>
          <t>STM32G0B1CCT3</t>
        </is>
      </c>
      <c r="I46" s="17" t="inlineStr">
        <is>
          <t>MCU Cortex-M0+ 64 MHz 256 KB, LQFP48, −40~125 °C (사내 DP2000 G0B1CCT6 동일 다이)</t>
        </is>
      </c>
      <c r="J46" s="19" t="n">
        <v>1.5</v>
      </c>
      <c r="K46" s="19" t="n">
        <v>2.5</v>
      </c>
      <c r="L46" s="20">
        <f>D46*J46</f>
        <v/>
      </c>
      <c r="M46" s="20">
        <f>D46*K46</f>
        <v/>
      </c>
      <c r="N46" s="16" t="inlineStr">
        <is>
          <t>확정</t>
        </is>
      </c>
    </row>
    <row r="47">
      <c r="A47" s="16" t="n">
        <v>46</v>
      </c>
      <c r="B47" s="16" t="inlineStr">
        <is>
          <t>측정</t>
        </is>
      </c>
      <c r="C47" s="17" t="inlineStr">
        <is>
          <t>U5</t>
        </is>
      </c>
      <c r="D47" s="18" t="n">
        <v>1</v>
      </c>
      <c r="E47" s="16" t="inlineStr">
        <is>
          <t>PCAP04-AQFM-24</t>
        </is>
      </c>
      <c r="F47" s="16" t="inlineStr">
        <is>
          <t>QFN-24-1EP_4x4mm_P0.5mm_EP2.6x2.6mm</t>
        </is>
      </c>
      <c r="G47" s="16" t="inlineStr">
        <is>
          <t>ScioSense</t>
        </is>
      </c>
      <c r="H47" s="17" t="inlineStr">
        <is>
          <t>PCAP04-AQFM-24</t>
        </is>
      </c>
      <c r="I47" s="17" t="inlineStr">
        <is>
          <t>정전용량-디지털 변환기 QFN24</t>
        </is>
      </c>
      <c r="J47" s="19" t="n">
        <v>6.5</v>
      </c>
      <c r="K47" s="19" t="n">
        <v>7.1</v>
      </c>
      <c r="L47" s="20">
        <f>D47*J47</f>
        <v/>
      </c>
      <c r="M47" s="20">
        <f>D47*K47</f>
        <v/>
      </c>
      <c r="N47" s="16" t="inlineStr">
        <is>
          <t>확정</t>
        </is>
      </c>
    </row>
    <row r="48">
      <c r="A48" s="16" t="n">
        <v>47</v>
      </c>
      <c r="B48" s="16" t="inlineStr">
        <is>
          <t>측정</t>
        </is>
      </c>
      <c r="C48" s="17" t="inlineStr">
        <is>
          <t>U6</t>
        </is>
      </c>
      <c r="D48" s="18" t="n">
        <v>1</v>
      </c>
      <c r="E48" s="16" t="inlineStr">
        <is>
          <t>ADS1220IPWR</t>
        </is>
      </c>
      <c r="F48" s="16" t="inlineStr">
        <is>
          <t>TSSOP-16_4.4x5mm_P0.65mm</t>
        </is>
      </c>
      <c r="G48" s="16" t="inlineStr">
        <is>
          <t>TI</t>
        </is>
      </c>
      <c r="H48" s="17" t="inlineStr">
        <is>
          <t>ADS1220IPWR</t>
        </is>
      </c>
      <c r="I48" s="17" t="inlineStr">
        <is>
          <t>24-bit ADC, Pt1000 2선 (J3 패드에서 켈빈 분기), TSSOP-16</t>
        </is>
      </c>
      <c r="J48" s="19" t="n">
        <v>1.9</v>
      </c>
      <c r="K48" s="19" t="n">
        <v>3.5</v>
      </c>
      <c r="L48" s="20">
        <f>D48*J48</f>
        <v/>
      </c>
      <c r="M48" s="20">
        <f>D48*K48</f>
        <v/>
      </c>
      <c r="N48" s="16" t="inlineStr">
        <is>
          <t>확정</t>
        </is>
      </c>
    </row>
    <row r="49">
      <c r="A49" s="16" t="n">
        <v>48</v>
      </c>
      <c r="B49" s="16" t="inlineStr">
        <is>
          <t>출력</t>
        </is>
      </c>
      <c r="C49" s="17" t="inlineStr">
        <is>
          <t>U7 U8</t>
        </is>
      </c>
      <c r="D49" s="18" t="n">
        <v>2</v>
      </c>
      <c r="E49" s="16" t="inlineStr">
        <is>
          <t>DAC8760IPWP</t>
        </is>
      </c>
      <c r="F49" s="16" t="inlineStr">
        <is>
          <t>HTSSOP-24-1EP_4.4x7.8mm_P0.65mm_EP3.2x5mm</t>
        </is>
      </c>
      <c r="G49" s="16" t="inlineStr">
        <is>
          <t>TI</t>
        </is>
      </c>
      <c r="H49" s="17" t="inlineStr">
        <is>
          <t>DAC8760IPWPR</t>
        </is>
      </c>
      <c r="I49" s="17" t="inlineStr">
        <is>
          <t>16-bit 전압/전류 출력 DAC, HTSSOP-24. 사양 확정 후 같은 핀 대체: DAC7760(12-bit V/I), DAC8750(16-bit 전류), DAC7750(12-bit 전류)</t>
        </is>
      </c>
      <c r="J49" s="19" t="n">
        <v>7.8</v>
      </c>
      <c r="K49" s="19" t="n">
        <v>12.4</v>
      </c>
      <c r="L49" s="20">
        <f>D49*J49</f>
        <v/>
      </c>
      <c r="M49" s="20">
        <f>D49*K49</f>
        <v/>
      </c>
      <c r="N49" s="16" t="inlineStr">
        <is>
          <t>확정</t>
        </is>
      </c>
    </row>
    <row r="50">
      <c r="A50" s="16" t="n">
        <v>49</v>
      </c>
      <c r="B50" s="16" t="inlineStr">
        <is>
          <t>출력</t>
        </is>
      </c>
      <c r="C50" s="17" t="inlineStr">
        <is>
          <t>U9 U10</t>
        </is>
      </c>
      <c r="D50" s="18" t="n">
        <v>2</v>
      </c>
      <c r="E50" s="16" t="inlineStr">
        <is>
          <t>TPS26611DDFR</t>
        </is>
      </c>
      <c r="F50" s="16" t="inlineStr">
        <is>
          <t>Texas_DDF0008A_SOT-8_1.6x2.9mm_P0.65mm</t>
        </is>
      </c>
      <c r="G50" s="16" t="inlineStr">
        <is>
          <t>TI</t>
        </is>
      </c>
      <c r="H50" s="17" t="inlineStr">
        <is>
          <t>TPS26611DDFR</t>
        </is>
      </c>
      <c r="I50" s="17" t="inlineStr">
        <is>
          <t>±50 V 아날로그 출력 오결선 보호, 32 mA 제한, SOT-23-8</t>
        </is>
      </c>
      <c r="J50" s="19" t="n">
        <v>1.2</v>
      </c>
      <c r="K50" s="19" t="n">
        <v>2.5</v>
      </c>
      <c r="L50" s="20">
        <f>D50*J50</f>
        <v/>
      </c>
      <c r="M50" s="20">
        <f>D50*K50</f>
        <v/>
      </c>
      <c r="N50" s="16" t="inlineStr">
        <is>
          <t>확정</t>
        </is>
      </c>
    </row>
    <row r="51">
      <c r="A51" s="16" t="n">
        <v>50</v>
      </c>
      <c r="B51" s="16" t="inlineStr">
        <is>
          <t>통신</t>
        </is>
      </c>
      <c r="C51" s="17" t="inlineStr">
        <is>
          <t>U11</t>
        </is>
      </c>
      <c r="D51" s="18" t="n">
        <v>1</v>
      </c>
      <c r="E51" s="16" t="inlineStr">
        <is>
          <t>THVD2450DR</t>
        </is>
      </c>
      <c r="F51" s="16" t="inlineStr">
        <is>
          <t>SOIC-8_3.9x4.9mm_P1.27mm</t>
        </is>
      </c>
      <c r="G51" s="16" t="inlineStr">
        <is>
          <t>TI</t>
        </is>
      </c>
      <c r="H51" s="17" t="inlineStr">
        <is>
          <t>THVD2450DR</t>
        </is>
      </c>
      <c r="I51" s="17" t="inlineStr">
        <is>
          <t>RS-485 트랜시버, 버스 ±70 V 내성, SOIC-8</t>
        </is>
      </c>
      <c r="J51" s="19" t="n">
        <v>1.5</v>
      </c>
      <c r="K51" s="19" t="n">
        <v>3</v>
      </c>
      <c r="L51" s="20">
        <f>D51*J51</f>
        <v/>
      </c>
      <c r="M51" s="20">
        <f>D51*K51</f>
        <v/>
      </c>
      <c r="N51" s="16" t="inlineStr">
        <is>
          <t>확정</t>
        </is>
      </c>
    </row>
    <row r="52">
      <c r="A52" s="16" t="n">
        <v>51</v>
      </c>
      <c r="B52" s="16" t="inlineStr">
        <is>
          <t>출력</t>
        </is>
      </c>
      <c r="C52" s="17" t="inlineStr">
        <is>
          <t>U12 U13</t>
        </is>
      </c>
      <c r="D52" s="18" t="n">
        <v>2</v>
      </c>
      <c r="E52" s="16" t="inlineStr">
        <is>
          <t>OPA197IDBVR</t>
        </is>
      </c>
      <c r="F52" s="16" t="inlineStr">
        <is>
          <t>SOT-23-5</t>
        </is>
      </c>
      <c r="G52" s="16" t="inlineStr">
        <is>
          <t>TI</t>
        </is>
      </c>
      <c r="H52" s="17" t="inlineStr">
        <is>
          <t>OPA197IDBVR</t>
        </is>
      </c>
      <c r="I52" s="17" t="inlineStr">
        <is>
          <t>36 V 레일투레일 연산증폭기 SOT-23-5 — DAC8760 +VSENSE 버퍼 (이득 1)</t>
        </is>
      </c>
      <c r="J52" s="19" t="n">
        <v>0.6</v>
      </c>
      <c r="K52" s="19" t="n">
        <v>1.1</v>
      </c>
      <c r="L52" s="20">
        <f>D52*J52</f>
        <v/>
      </c>
      <c r="M52" s="20">
        <f>D52*K52</f>
        <v/>
      </c>
      <c r="N52" s="16" t="inlineStr">
        <is>
          <t>제안</t>
        </is>
      </c>
    </row>
    <row r="53">
      <c r="A53" s="16" t="n">
        <v>52</v>
      </c>
      <c r="B53" s="16" t="inlineStr">
        <is>
          <t>출력</t>
        </is>
      </c>
      <c r="C53" s="17" t="inlineStr">
        <is>
          <t>U14</t>
        </is>
      </c>
      <c r="D53" s="18" t="n">
        <v>1</v>
      </c>
      <c r="E53" s="16" t="inlineStr">
        <is>
          <t>SN74LVC2G32DCUR</t>
        </is>
      </c>
      <c r="F53" s="16" t="inlineStr">
        <is>
          <t>VSSOP-8_2.3x2mm_P0.5mm</t>
        </is>
      </c>
      <c r="G53" s="16" t="inlineStr">
        <is>
          <t>TI</t>
        </is>
      </c>
      <c r="H53" s="17" t="inlineStr">
        <is>
          <t>SN74LVC2G32DCUR</t>
        </is>
      </c>
      <c r="I53" s="17" t="inlineStr">
        <is>
          <t>OR 게이트 2회로 VSSOP-8 — DAC별 SCLK 게이트 (DAC8760 8.5.1.5)</t>
        </is>
      </c>
      <c r="J53" s="19" t="n">
        <v>0.08</v>
      </c>
      <c r="K53" s="19" t="n">
        <v>0.2</v>
      </c>
      <c r="L53" s="20">
        <f>D53*J53</f>
        <v/>
      </c>
      <c r="M53" s="20">
        <f>D53*K53</f>
        <v/>
      </c>
      <c r="N53" s="16" t="inlineStr">
        <is>
          <t>제안</t>
        </is>
      </c>
    </row>
    <row r="54">
      <c r="A54" s="16" t="n">
        <v>53</v>
      </c>
      <c r="B54" s="16" t="inlineStr">
        <is>
          <t>기판</t>
        </is>
      </c>
      <c r="C54" s="17" t="inlineStr">
        <is>
          <t>PCB</t>
        </is>
      </c>
      <c r="D54" s="18" t="n">
        <v>1</v>
      </c>
      <c r="E54" s="16" t="inlineStr">
        <is>
          <t>-</t>
        </is>
      </c>
      <c r="F54" s="16" t="inlineStr">
        <is>
          <t>-</t>
        </is>
      </c>
      <c r="G54" s="16" t="inlineStr">
        <is>
          <t>-</t>
        </is>
      </c>
      <c r="H54" s="17" t="inlineStr">
        <is>
          <t>HMT500(260313A) (E-301)</t>
        </is>
      </c>
      <c r="I54" s="17" t="inlineStr">
        <is>
          <t>PCB 4층 57×23 mm, FR-4 1.6 t, ENIG (기구 Rev C 외곽)</t>
        </is>
      </c>
      <c r="J54" s="19" t="n">
        <v>0.8</v>
      </c>
      <c r="K54" s="19" t="n">
        <v>2</v>
      </c>
      <c r="L54" s="20">
        <f>D54*J54</f>
        <v/>
      </c>
      <c r="M54" s="20">
        <f>D54*K54</f>
        <v/>
      </c>
      <c r="N54" s="21" t="inlineStr">
        <is>
          <t>추정</t>
        </is>
      </c>
    </row>
    <row r="55">
      <c r="A55" s="16" t="n">
        <v>54</v>
      </c>
      <c r="B55" s="16" t="inlineStr">
        <is>
          <t>센서</t>
        </is>
      </c>
      <c r="C55" s="17" t="inlineStr">
        <is>
          <t>센서 헤드</t>
        </is>
      </c>
      <c r="D55" s="18" t="n">
        <v>1</v>
      </c>
      <c r="E55" s="16" t="inlineStr">
        <is>
          <t>-</t>
        </is>
      </c>
      <c r="F55" s="16" t="inlineStr">
        <is>
          <t>-</t>
        </is>
      </c>
      <c r="G55" s="16" t="inlineStr">
        <is>
          <t>IST</t>
        </is>
      </c>
      <c r="H55" s="17" t="inlineStr">
        <is>
          <t>MK33-W mini (150138)</t>
        </is>
      </c>
      <c r="I55" s="17" t="inlineStr">
        <is>
          <t>정전용량 습도 소자 200 pF (센서 프로브 P-202에 실장)</t>
        </is>
      </c>
      <c r="J55" s="19" t="n">
        <v>0</v>
      </c>
      <c r="K55" s="19" t="n">
        <v>0</v>
      </c>
      <c r="L55" s="20">
        <f>D55*J55</f>
        <v/>
      </c>
      <c r="M55" s="20">
        <f>D55*K55</f>
        <v/>
      </c>
      <c r="N55" s="21" t="inlineStr">
        <is>
          <t>사내 단가</t>
        </is>
      </c>
    </row>
    <row r="56">
      <c r="A56" s="16" t="n">
        <v>55</v>
      </c>
      <c r="B56" s="16" t="inlineStr">
        <is>
          <t>센서</t>
        </is>
      </c>
      <c r="C56" s="17" t="inlineStr">
        <is>
          <t>센서 헤드</t>
        </is>
      </c>
      <c r="D56" s="18" t="n">
        <v>1</v>
      </c>
      <c r="E56" s="16" t="inlineStr">
        <is>
          <t>-</t>
        </is>
      </c>
      <c r="F56" s="16" t="inlineStr">
        <is>
          <t>-</t>
        </is>
      </c>
      <c r="G56" s="16" t="inlineStr">
        <is>
          <t>IST</t>
        </is>
      </c>
      <c r="H56" s="17" t="inlineStr">
        <is>
          <t>MiniSens Pt1000 F0.1</t>
        </is>
      </c>
      <c r="I56" s="17" t="inlineStr">
        <is>
          <t>온도 소자 1.6×1.2 mm (센서 프로브 P-202에 실장)</t>
        </is>
      </c>
      <c r="J56" s="19" t="n">
        <v>0.5</v>
      </c>
      <c r="K56" s="19" t="n">
        <v>3</v>
      </c>
      <c r="L56" s="20">
        <f>D56*J56</f>
        <v/>
      </c>
      <c r="M56" s="20">
        <f>D56*K56</f>
        <v/>
      </c>
      <c r="N56" s="21" t="inlineStr">
        <is>
          <t>추정</t>
        </is>
      </c>
    </row>
    <row r="57">
      <c r="A57" s="16" t="n">
        <v>56</v>
      </c>
      <c r="B57" s="16" t="inlineStr">
        <is>
          <t>커넥터</t>
        </is>
      </c>
      <c r="C57" s="17" t="inlineStr">
        <is>
          <t>P-204</t>
        </is>
      </c>
      <c r="D57" s="18" t="n">
        <v>1</v>
      </c>
      <c r="E57" s="16" t="inlineStr">
        <is>
          <t>-</t>
        </is>
      </c>
      <c r="F57" s="16" t="inlineStr">
        <is>
          <t>-</t>
        </is>
      </c>
      <c r="G57" s="16" t="inlineStr">
        <is>
          <t>M Connect</t>
        </is>
      </c>
      <c r="H57" s="17" t="inlineStr">
        <is>
          <t>TBD (두텍 사용품)</t>
        </is>
      </c>
      <c r="I57" s="17" t="inlineStr">
        <is>
          <t>M12 8핀 수컷 전면 장착형 M16×1.5, 리드선형 (W-2 납땜)</t>
        </is>
      </c>
      <c r="J57" s="19" t="n">
        <v>2</v>
      </c>
      <c r="K57" s="19" t="n">
        <v>10</v>
      </c>
      <c r="L57" s="20">
        <f>D57*J57</f>
        <v/>
      </c>
      <c r="M57" s="20">
        <f>D57*K57</f>
        <v/>
      </c>
      <c r="N57" s="22" t="inlineStr">
        <is>
          <t>TBD</t>
        </is>
      </c>
    </row>
    <row r="58">
      <c r="A58" s="16" t="n">
        <v>57</v>
      </c>
      <c r="B58" s="16" t="inlineStr">
        <is>
          <t>하네스</t>
        </is>
      </c>
      <c r="C58" s="17" t="inlineStr">
        <is>
          <t>W-2</t>
        </is>
      </c>
      <c r="D58" s="18" t="n">
        <v>1</v>
      </c>
      <c r="E58" s="16" t="inlineStr">
        <is>
          <t>-</t>
        </is>
      </c>
      <c r="F58" s="16" t="inlineStr">
        <is>
          <t>-</t>
        </is>
      </c>
      <c r="G58" s="16" t="inlineStr">
        <is>
          <t>JST</t>
        </is>
      </c>
      <c r="H58" s="17" t="inlineStr">
        <is>
          <t>GHR-08V-S</t>
        </is>
      </c>
      <c r="I58" s="17" t="inlineStr">
        <is>
          <t>GH 1.25 mm 8핀 소켓 하우징 (M12 하네스 W-2)</t>
        </is>
      </c>
      <c r="J58" s="19" t="n">
        <v>0.06</v>
      </c>
      <c r="K58" s="19" t="n">
        <v>0.15</v>
      </c>
      <c r="L58" s="20">
        <f>D58*J58</f>
        <v/>
      </c>
      <c r="M58" s="20">
        <f>D58*K58</f>
        <v/>
      </c>
      <c r="N58" s="16" t="inlineStr">
        <is>
          <t>제안</t>
        </is>
      </c>
    </row>
    <row r="59">
      <c r="A59" s="16" t="n">
        <v>58</v>
      </c>
      <c r="B59" s="16" t="inlineStr">
        <is>
          <t>하네스</t>
        </is>
      </c>
      <c r="C59" s="17" t="inlineStr">
        <is>
          <t>W-2</t>
        </is>
      </c>
      <c r="D59" s="18" t="n">
        <v>8</v>
      </c>
      <c r="E59" s="16" t="inlineStr">
        <is>
          <t>-</t>
        </is>
      </c>
      <c r="F59" s="16" t="inlineStr">
        <is>
          <t>-</t>
        </is>
      </c>
      <c r="G59" s="16" t="inlineStr">
        <is>
          <t>JST</t>
        </is>
      </c>
      <c r="H59" s="17" t="inlineStr">
        <is>
          <t>SSHL-002T-P0.2</t>
        </is>
      </c>
      <c r="I59" s="17" t="inlineStr">
        <is>
          <t>GH 크림프 단자 AWG 30–26</t>
        </is>
      </c>
      <c r="J59" s="19" t="n">
        <v>0.03</v>
      </c>
      <c r="K59" s="19" t="n">
        <v>0.06</v>
      </c>
      <c r="L59" s="20">
        <f>D59*J59</f>
        <v/>
      </c>
      <c r="M59" s="20">
        <f>D59*K59</f>
        <v/>
      </c>
      <c r="N59" s="16" t="inlineStr">
        <is>
          <t>제안</t>
        </is>
      </c>
    </row>
    <row r="60">
      <c r="A60" s="16" t="n">
        <v>59</v>
      </c>
      <c r="B60" s="16" t="inlineStr">
        <is>
          <t>하네스</t>
        </is>
      </c>
      <c r="C60" s="17" t="inlineStr">
        <is>
          <t>W-2</t>
        </is>
      </c>
      <c r="D60" s="18" t="n">
        <v>1</v>
      </c>
      <c r="E60" s="16" t="inlineStr">
        <is>
          <t>-</t>
        </is>
      </c>
      <c r="F60" s="16" t="inlineStr">
        <is>
          <t>-</t>
        </is>
      </c>
      <c r="G60" s="16" t="inlineStr">
        <is>
          <t>TBD</t>
        </is>
      </c>
      <c r="H60" s="17" t="inlineStr">
        <is>
          <t>PTFE AWG28 전선</t>
        </is>
      </c>
      <c r="I60" s="17" t="inlineStr">
        <is>
          <t>UL1213 계열 200 °C, 8심 × 60 mm + 수축튜브 (M12 핀 납땜)</t>
        </is>
      </c>
      <c r="J60" s="19" t="n">
        <v>0.15</v>
      </c>
      <c r="K60" s="19" t="n">
        <v>0.4</v>
      </c>
      <c r="L60" s="20">
        <f>D60*J60</f>
        <v/>
      </c>
      <c r="M60" s="20">
        <f>D60*K60</f>
        <v/>
      </c>
      <c r="N60" s="21" t="inlineStr">
        <is>
          <t>추정</t>
        </is>
      </c>
    </row>
    <row r="61">
      <c r="A61" s="16" t="n">
        <v>60</v>
      </c>
      <c r="B61" s="16" t="inlineStr">
        <is>
          <t>하네스</t>
        </is>
      </c>
      <c r="C61" s="17" t="inlineStr">
        <is>
          <t>W-1</t>
        </is>
      </c>
      <c r="D61" s="18" t="n">
        <v>1</v>
      </c>
      <c r="E61" s="16" t="inlineStr">
        <is>
          <t>-</t>
        </is>
      </c>
      <c r="F61" s="16" t="inlineStr">
        <is>
          <t>-</t>
        </is>
      </c>
      <c r="G61" s="16" t="inlineStr">
        <is>
          <t>JST</t>
        </is>
      </c>
      <c r="H61" s="17" t="inlineStr">
        <is>
          <t>SHR-04V-S</t>
        </is>
      </c>
      <c r="I61" s="17" t="inlineStr">
        <is>
          <t>SH 1.0 mm 4핀 소켓 하우징 (센서 하네스 W-1)</t>
        </is>
      </c>
      <c r="J61" s="19" t="n">
        <v>0.04</v>
      </c>
      <c r="K61" s="19" t="n">
        <v>0.1</v>
      </c>
      <c r="L61" s="20">
        <f>D61*J61</f>
        <v/>
      </c>
      <c r="M61" s="20">
        <f>D61*K61</f>
        <v/>
      </c>
      <c r="N61" s="16" t="inlineStr">
        <is>
          <t>제안</t>
        </is>
      </c>
    </row>
    <row r="62">
      <c r="A62" s="16" t="n">
        <v>61</v>
      </c>
      <c r="B62" s="16" t="inlineStr">
        <is>
          <t>하네스</t>
        </is>
      </c>
      <c r="C62" s="17" t="inlineStr">
        <is>
          <t>W-1</t>
        </is>
      </c>
      <c r="D62" s="18" t="n">
        <v>4</v>
      </c>
      <c r="E62" s="16" t="inlineStr">
        <is>
          <t>-</t>
        </is>
      </c>
      <c r="F62" s="16" t="inlineStr">
        <is>
          <t>-</t>
        </is>
      </c>
      <c r="G62" s="16" t="inlineStr">
        <is>
          <t>JST</t>
        </is>
      </c>
      <c r="H62" s="17" t="inlineStr">
        <is>
          <t>SSH-003T-P0.2-H</t>
        </is>
      </c>
      <c r="I62" s="17" t="inlineStr">
        <is>
          <t>SH 크림프 단자 AWG 32–28</t>
        </is>
      </c>
      <c r="J62" s="19" t="n">
        <v>0.03</v>
      </c>
      <c r="K62" s="19" t="n">
        <v>0.06</v>
      </c>
      <c r="L62" s="20">
        <f>D62*J62</f>
        <v/>
      </c>
      <c r="M62" s="20">
        <f>D62*K62</f>
        <v/>
      </c>
      <c r="N62" s="16" t="inlineStr">
        <is>
          <t>제안</t>
        </is>
      </c>
    </row>
    <row r="63">
      <c r="A63" s="16" t="n">
        <v>62</v>
      </c>
      <c r="B63" s="16" t="inlineStr">
        <is>
          <t>하네스</t>
        </is>
      </c>
      <c r="C63" s="17" t="inlineStr">
        <is>
          <t>W-1</t>
        </is>
      </c>
      <c r="D63" s="18" t="n">
        <v>1</v>
      </c>
      <c r="E63" s="16" t="inlineStr">
        <is>
          <t>-</t>
        </is>
      </c>
      <c r="F63" s="16" t="inlineStr">
        <is>
          <t>-</t>
        </is>
      </c>
      <c r="G63" s="16" t="inlineStr">
        <is>
          <t>TBD</t>
        </is>
      </c>
      <c r="H63" s="17" t="inlineStr">
        <is>
          <t>PTFE AWG30 전선</t>
        </is>
      </c>
      <c r="I63" s="17" t="inlineStr">
        <is>
          <t>UL1213 계열 200 °C, 4심 × 60 mm (HTX99R 뒤 핀 납땜 + 수축튜브)</t>
        </is>
      </c>
      <c r="J63" s="19" t="n">
        <v>0.1</v>
      </c>
      <c r="K63" s="19" t="n">
        <v>0.3</v>
      </c>
      <c r="L63" s="20">
        <f>D63*J63</f>
        <v/>
      </c>
      <c r="M63" s="20">
        <f>D63*K63</f>
        <v/>
      </c>
      <c r="N63" s="21" t="inlineStr">
        <is>
          <t>추정</t>
        </is>
      </c>
    </row>
    <row r="64">
      <c r="A64" s="16" t="n">
        <v>63</v>
      </c>
      <c r="B64" s="16" t="inlineStr">
        <is>
          <t>조립</t>
        </is>
      </c>
      <c r="C64" s="17" t="inlineStr">
        <is>
          <t>-</t>
        </is>
      </c>
      <c r="D64" s="18" t="n">
        <v>1</v>
      </c>
      <c r="E64" s="16" t="inlineStr">
        <is>
          <t>-</t>
        </is>
      </c>
      <c r="F64" s="16" t="inlineStr">
        <is>
          <t>-</t>
        </is>
      </c>
      <c r="G64" s="16" t="inlineStr">
        <is>
          <t>-</t>
        </is>
      </c>
      <c r="H64" s="17" t="inlineStr">
        <is>
          <t>SMT 양면 실장</t>
        </is>
      </c>
      <c r="I64" s="17" t="inlineStr">
        <is>
          <t>1k 기준 조립비</t>
        </is>
      </c>
      <c r="J64" s="19" t="n">
        <v>2</v>
      </c>
      <c r="K64" s="19" t="n">
        <v>4</v>
      </c>
      <c r="L64" s="20">
        <f>D64*J64</f>
        <v/>
      </c>
      <c r="M64" s="20">
        <f>D64*K64</f>
        <v/>
      </c>
      <c r="N64" s="21" t="inlineStr">
        <is>
          <t>추정</t>
        </is>
      </c>
    </row>
    <row r="65">
      <c r="I65" s="3" t="inlineStr">
        <is>
          <t>합계 (1대분)</t>
        </is>
      </c>
      <c r="L65" s="23">
        <f>SUM(L2:L64)</f>
        <v/>
      </c>
      <c r="M65" s="23">
        <f>SUM(M2:M64)</f>
        <v/>
      </c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2026-09-30T00:46:16Z</dcterms:created>
  <dcterms:modified xsi:type="dcterms:W3CDTF">2026-09-30T00:46:16Z</dcterms:modified>
</cp:coreProperties>
</file>