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9" headerRowCount="1">
  <autoFilter ref="A1:N69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COUNTIF('부품리스트'!$B$2:$B$69,A7)</f>
        <v/>
      </c>
      <c r="C7" s="9">
        <f>SUMIFS('부품리스트'!$L$2:$L$69,'부품리스트'!$B$2:$B$69,A7)</f>
        <v/>
      </c>
      <c r="D7" s="9">
        <f>SUMIFS('부품리스트'!$M$2:$M$69,'부품리스트'!$B$2:$B$69,A7)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COUNTIF('부품리스트'!$B$2:$B$69,A8)</f>
        <v/>
      </c>
      <c r="C8" s="9">
        <f>SUMIFS('부품리스트'!$L$2:$L$69,'부품리스트'!$B$2:$B$69,A8)</f>
        <v/>
      </c>
      <c r="D8" s="9">
        <f>SUMIFS('부품리스트'!$M$2:$M$69,'부품리스트'!$B$2:$B$69,A8)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COUNTIF('부품리스트'!$B$2:$B$69,A9)</f>
        <v/>
      </c>
      <c r="C9" s="9">
        <f>SUMIFS('부품리스트'!$L$2:$L$69,'부품리스트'!$B$2:$B$69,A9)</f>
        <v/>
      </c>
      <c r="D9" s="9">
        <f>SUMIFS('부품리스트'!$M$2:$M$69,'부품리스트'!$B$2:$B$69,A9)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COUNTIF('부품리스트'!$B$2:$B$69,A10)</f>
        <v/>
      </c>
      <c r="C10" s="9">
        <f>SUMIFS('부품리스트'!$L$2:$L$69,'부품리스트'!$B$2:$B$69,A10)</f>
        <v/>
      </c>
      <c r="D10" s="9">
        <f>SUMIFS('부품리스트'!$M$2:$M$69,'부품리스트'!$B$2:$B$69,A10)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COUNTIF('부품리스트'!$B$2:$B$69,A11)</f>
        <v/>
      </c>
      <c r="C11" s="9">
        <f>SUMIFS('부품리스트'!$L$2:$L$69,'부품리스트'!$B$2:$B$69,A11)</f>
        <v/>
      </c>
      <c r="D11" s="9">
        <f>SUMIFS('부품리스트'!$M$2:$M$69,'부품리스트'!$B$2:$B$69,A11)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COUNTIF('부품리스트'!$B$2:$B$69,A12)</f>
        <v/>
      </c>
      <c r="C12" s="9">
        <f>SUMIFS('부품리스트'!$L$2:$L$69,'부품리스트'!$B$2:$B$69,A12)</f>
        <v/>
      </c>
      <c r="D12" s="9">
        <f>SUMIFS('부품리스트'!$M$2:$M$69,'부품리스트'!$B$2:$B$69,A12)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COUNTIF('부품리스트'!$B$2:$B$69,A13)</f>
        <v/>
      </c>
      <c r="C13" s="9">
        <f>SUMIFS('부품리스트'!$L$2:$L$69,'부품리스트'!$B$2:$B$69,A13)</f>
        <v/>
      </c>
      <c r="D13" s="9">
        <f>SUMIFS('부품리스트'!$M$2:$M$69,'부품리스트'!$B$2:$B$69,A13)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COUNTIF('부품리스트'!$B$2:$B$69,A14)</f>
        <v/>
      </c>
      <c r="C14" s="9">
        <f>SUMIFS('부품리스트'!$L$2:$L$69,'부품리스트'!$B$2:$B$69,A14)</f>
        <v/>
      </c>
      <c r="D14" s="9">
        <f>SUMIFS('부품리스트'!$M$2:$M$69,'부품리스트'!$B$2:$B$69,A14)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COUNTIF('부품리스트'!$B$2:$B$69,A15)</f>
        <v/>
      </c>
      <c r="C15" s="9">
        <f>SUMIFS('부품리스트'!$L$2:$L$69,'부품리스트'!$B$2:$B$69,A15)</f>
        <v/>
      </c>
      <c r="D15" s="9">
        <f>SUMIFS('부품리스트'!$M$2:$M$69,'부품리스트'!$B$2:$B$69,A15)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COUNTIF('부품리스트'!$B$2:$B$69,A16)</f>
        <v/>
      </c>
      <c r="C16" s="9">
        <f>SUMIFS('부품리스트'!$L$2:$L$69,'부품리스트'!$B$2:$B$69,A16)</f>
        <v/>
      </c>
      <c r="D16" s="9">
        <f>SUMIFS('부품리스트'!$M$2:$M$69,'부품리스트'!$B$2:$B$69,A16)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COUNTIF('부품리스트'!$B$2:$B$69,A17)</f>
        <v/>
      </c>
      <c r="C17" s="9">
        <f>SUMIFS('부품리스트'!$L$2:$L$69,'부품리스트'!$B$2:$B$69,A17)</f>
        <v/>
      </c>
      <c r="D17" s="9">
        <f>SUMIFS('부품리스트'!$M$2:$M$69,'부품리스트'!$B$2:$B$69,A17)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COUNTIF('부품리스트'!$B$2:$B$69,A18)</f>
        <v/>
      </c>
      <c r="C18" s="9">
        <f>SUMIFS('부품리스트'!$L$2:$L$69,'부품리스트'!$B$2:$B$69,A18)</f>
        <v/>
      </c>
      <c r="D18" s="9">
        <f>SUMIFS('부품리스트'!$M$2:$M$69,'부품리스트'!$B$2:$B$69,A18)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COUNTIF('부품리스트'!$B$2:$B$69,A19)</f>
        <v/>
      </c>
      <c r="C19" s="9">
        <f>SUMIFS('부품리스트'!$L$2:$L$69,'부품리스트'!$B$2:$B$69,A19)</f>
        <v/>
      </c>
      <c r="D19" s="9">
        <f>SUMIFS('부품리스트'!$M$2:$M$69,'부품리스트'!$B$2:$B$69,A19)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C7</t>
        </is>
      </c>
      <c r="D3" s="18" t="n">
        <v>2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</t>
        </is>
      </c>
      <c r="D6" s="18" t="n">
        <v>1</v>
      </c>
      <c r="E6" s="16" t="inlineStr">
        <is>
          <t>10u 50V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GRM32ER71H106KA12L</t>
        </is>
      </c>
      <c r="I6" s="17" t="inlineStr">
        <is>
          <t>MLCC 10 uF 50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 C10</t>
        </is>
      </c>
      <c r="D7" s="18" t="n">
        <v>2</v>
      </c>
      <c r="E7" s="16" t="inlineStr">
        <is>
          <t>22u 25V</t>
        </is>
      </c>
      <c r="F7" s="16" t="inlineStr">
        <is>
          <t>C_1206_3216Metric</t>
        </is>
      </c>
      <c r="G7" s="16" t="inlineStr">
        <is>
          <t>(X7R 1206)</t>
        </is>
      </c>
      <c r="H7" s="17" t="inlineStr">
        <is>
          <t>품번 확인 필요 — X7R 22 µF 25 V 1206</t>
        </is>
      </c>
      <c r="I7" s="17" t="inlineStr">
        <is>
          <t>MLCC 22 uF 25 V X7R 1206 (벅 출력 2개, LMR36006 X7R 요구, v0.9: X5R 금지)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21" t="inlineStr">
        <is>
          <t>확인 필요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C46 C50 C53 C54 C56 C60</t>
        </is>
      </c>
      <c r="D8" s="18" t="n">
        <v>18</v>
      </c>
      <c r="E8" s="16" t="inlineStr">
        <is>
          <t>100n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GRM188R71H104KA93D</t>
        </is>
      </c>
      <c r="I8" s="17" t="inlineStr">
        <is>
          <t>MLCC 100 nF 50 V X7R 0603</t>
        </is>
      </c>
      <c r="J8" s="19" t="n">
        <v>0.004</v>
      </c>
      <c r="K8" s="19" t="n">
        <v>0.01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 C26</t>
        </is>
      </c>
      <c r="D9" s="18" t="n">
        <v>3</v>
      </c>
      <c r="E9" s="16" t="inlineStr">
        <is>
          <t>1u</t>
        </is>
      </c>
      <c r="F9" s="16" t="inlineStr">
        <is>
          <t>C_0603_1608Metric</t>
        </is>
      </c>
      <c r="G9" s="16" t="inlineStr">
        <is>
          <t>Murata</t>
        </is>
      </c>
      <c r="H9" s="17" t="inlineStr">
        <is>
          <t>GRM188R71E105KA12D</t>
        </is>
      </c>
      <c r="I9" s="17" t="inlineStr">
        <is>
          <t>MLCC 1 uF 25 V X7R 0603 (v0.9: X5R → X7R, 몰딩 후 85 °C 초과)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C_0603_1608Metric</t>
        </is>
      </c>
      <c r="G10" s="16" t="inlineStr">
        <is>
          <t>Murata</t>
        </is>
      </c>
      <c r="H10" s="17" t="inlineStr">
        <is>
          <t>GRM1885C1H200JA01D</t>
        </is>
      </c>
      <c r="I10" s="17" t="inlineStr">
        <is>
          <t>MLCC 20 pF 50 V C0G 0603 (벅 CFF)</t>
        </is>
      </c>
      <c r="J10" s="19" t="n">
        <v>0.003</v>
      </c>
      <c r="K10" s="19" t="n">
        <v>0.008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C25</t>
        </is>
      </c>
      <c r="D11" s="18" t="n">
        <v>2</v>
      </c>
      <c r="E11" s="16" t="inlineStr">
        <is>
          <t>10u</t>
        </is>
      </c>
      <c r="F11" s="16" t="inlineStr">
        <is>
          <t>C_1206_3216Metric</t>
        </is>
      </c>
      <c r="G11" s="16" t="inlineStr">
        <is>
          <t>Murata</t>
        </is>
      </c>
      <c r="H11" s="17" t="inlineStr">
        <is>
          <t>GRM31CR71E106KA12L</t>
        </is>
      </c>
      <c r="I11" s="17" t="inlineStr">
        <is>
          <t>MLCC 10 uF 25 V X7R 1206 (v0.9: 0805 X5R → 1206 X7R, DC 바이어스 여유)</t>
        </is>
      </c>
      <c r="J11" s="19" t="n">
        <v>0.05</v>
      </c>
      <c r="K11" s="19" t="n">
        <v>0.12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전원</t>
        </is>
      </c>
      <c r="C12" s="17" t="inlineStr">
        <is>
          <t>C16 C17</t>
        </is>
      </c>
      <c r="D12" s="18" t="n">
        <v>2</v>
      </c>
      <c r="E12" s="16" t="inlineStr">
        <is>
          <t>220n 100V</t>
        </is>
      </c>
      <c r="F12" s="16" t="inlineStr">
        <is>
          <t>C_0603_1608Metric</t>
        </is>
      </c>
      <c r="G12" s="16" t="inlineStr">
        <is>
          <t>(X7R 0603)</t>
        </is>
      </c>
      <c r="H12" s="17" t="inlineStr">
        <is>
          <t>품번 확인 필요 — X7R 220 nF 100 V 0603</t>
        </is>
      </c>
      <c r="I12" s="17" t="inlineStr">
        <is>
          <t>MLCC 220 nF 100 V X7R 0603 (LMR36006 VIN–PGND 핀마다)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21" t="inlineStr">
        <is>
          <t>확인 필요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C18</t>
        </is>
      </c>
      <c r="D13" s="18" t="n">
        <v>1</v>
      </c>
      <c r="E13" s="16" t="inlineStr">
        <is>
          <t>4.7u</t>
        </is>
      </c>
      <c r="F13" s="16" t="inlineStr">
        <is>
          <t>C_0805_2012Metric</t>
        </is>
      </c>
      <c r="G13" s="16" t="inlineStr">
        <is>
          <t>Murata</t>
        </is>
      </c>
      <c r="H13" s="17" t="inlineStr">
        <is>
          <t>GRM21BR71E475KA73L</t>
        </is>
      </c>
      <c r="I13" s="17" t="inlineStr">
        <is>
          <t>MLCC 4.7 uF 25 V X7R 0805 (품번 확인 필요)</t>
        </is>
      </c>
      <c r="J13" s="19" t="n">
        <v>0.03</v>
      </c>
      <c r="K13" s="19" t="n">
        <v>0.08</v>
      </c>
      <c r="L13" s="20">
        <f>D13*J13</f>
        <v/>
      </c>
      <c r="M13" s="20">
        <f>D13*K13</f>
        <v/>
      </c>
      <c r="N13" s="21" t="inlineStr">
        <is>
          <t>확인 필요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C22</t>
        </is>
      </c>
      <c r="D14" s="18" t="n">
        <v>1</v>
      </c>
      <c r="E14" s="16" t="inlineStr">
        <is>
          <t>220p C0G 1%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GRM1885C1H221FA01D</t>
        </is>
      </c>
      <c r="I14" s="17" t="inlineStr">
        <is>
          <t>MLCC 220 pF 50 V C0G ±1% 0603 (PCAP04 기준 C)</t>
        </is>
      </c>
      <c r="J14" s="19" t="n">
        <v>0.01</v>
      </c>
      <c r="K14" s="19" t="n">
        <v>0.04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C24</t>
        </is>
      </c>
      <c r="D15" s="18" t="n">
        <v>1</v>
      </c>
      <c r="E15" s="16" t="inlineStr">
        <is>
          <t>22u 10V</t>
        </is>
      </c>
      <c r="F15" s="16" t="inlineStr">
        <is>
          <t>C_1206_3216Metric</t>
        </is>
      </c>
      <c r="G15" s="16" t="inlineStr">
        <is>
          <t>Murata</t>
        </is>
      </c>
      <c r="H15" s="17" t="inlineStr">
        <is>
          <t>GRM31CR71A226KE15L</t>
        </is>
      </c>
      <c r="I15" s="17" t="inlineStr">
        <is>
          <t>MLCC 22 uF 10 V X7R 1206 (PCAP04 VDD33 ≥ 10 µF 실효, 품번 확인 필요)</t>
        </is>
      </c>
      <c r="J15" s="19" t="n">
        <v>0.08</v>
      </c>
      <c r="K15" s="19" t="n">
        <v>0.2</v>
      </c>
      <c r="L15" s="20">
        <f>D15*J15</f>
        <v/>
      </c>
      <c r="M15" s="20">
        <f>D15*K15</f>
        <v/>
      </c>
      <c r="N15" s="21" t="inlineStr">
        <is>
          <t>확인 필요</t>
        </is>
      </c>
    </row>
    <row r="16">
      <c r="A16" s="16" t="n">
        <v>15</v>
      </c>
      <c r="B16" s="16" t="inlineStr">
        <is>
          <t>측정</t>
        </is>
      </c>
      <c r="C16" s="17" t="inlineStr">
        <is>
          <t>C27</t>
        </is>
      </c>
      <c r="D16" s="18" t="n">
        <v>1</v>
      </c>
      <c r="E16" s="16" t="inlineStr">
        <is>
          <t>10n C0G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GRM1885C1H103JA01D</t>
        </is>
      </c>
      <c r="I16" s="17" t="inlineStr">
        <is>
          <t>MLCC 10 nF 50 V C0G 0603 (ADS1220 차동 필터)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C41 C51</t>
        </is>
      </c>
      <c r="D17" s="18" t="n">
        <v>2</v>
      </c>
      <c r="E17" s="16" t="inlineStr">
        <is>
          <t>1n 100V</t>
        </is>
      </c>
      <c r="F17" s="16" t="inlineStr">
        <is>
          <t>C_0603_1608Metric</t>
        </is>
      </c>
      <c r="G17" s="16" t="inlineStr">
        <is>
          <t>Murata</t>
        </is>
      </c>
      <c r="H17" s="17" t="inlineStr">
        <is>
          <t>GRM188R72A102KA01D</t>
        </is>
      </c>
      <c r="I17" s="17" t="inlineStr">
        <is>
          <t>MLCC 1 nF 100 V X7R 0603</t>
        </is>
      </c>
      <c r="J17" s="19" t="n">
        <v>0.004</v>
      </c>
      <c r="K17" s="19" t="n">
        <v>0.01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수동</t>
        </is>
      </c>
      <c r="C18" s="17" t="inlineStr">
        <is>
          <t>C42 C45 C52 C55</t>
        </is>
      </c>
      <c r="D18" s="18" t="n">
        <v>4</v>
      </c>
      <c r="E18" s="16" t="inlineStr">
        <is>
          <t>100n 50V</t>
        </is>
      </c>
      <c r="F18" s="16" t="inlineStr">
        <is>
          <t>C_0805_2012Metric</t>
        </is>
      </c>
      <c r="G18" s="16" t="inlineStr">
        <is>
          <t>Murata</t>
        </is>
      </c>
      <c r="H18" s="17" t="inlineStr">
        <is>
          <t>GRM21BR71H104KA01L</t>
        </is>
      </c>
      <c r="I18" s="17" t="inlineStr">
        <is>
          <t>MLCC 100 nF 50 V X7R 0805</t>
        </is>
      </c>
      <c r="J18" s="19" t="n">
        <v>0.01</v>
      </c>
      <c r="K18" s="19" t="n">
        <v>0.03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수동</t>
        </is>
      </c>
      <c r="C19" s="17" t="inlineStr">
        <is>
          <t>C43</t>
        </is>
      </c>
      <c r="D19" s="18" t="n">
        <v>1</v>
      </c>
      <c r="E19" s="16" t="inlineStr">
        <is>
          <t>4.7u 50V</t>
        </is>
      </c>
      <c r="F19" s="16" t="inlineStr">
        <is>
          <t>C_1210_3225Metric</t>
        </is>
      </c>
      <c r="G19" s="16" t="inlineStr">
        <is>
          <t>Murata</t>
        </is>
      </c>
      <c r="H19" s="17" t="inlineStr">
        <is>
          <t>GRM32ER71H475KA88L</t>
        </is>
      </c>
      <c r="I19" s="17" t="inlineStr">
        <is>
          <t>MLCC 4.7 uF 50 V X7R 1210 (소프트 터미네이션 권장 — 에폭시 응력)</t>
        </is>
      </c>
      <c r="J19" s="19" t="n">
        <v>0.1</v>
      </c>
      <c r="K19" s="19" t="n">
        <v>0.25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D1</t>
        </is>
      </c>
      <c r="D20" s="18" t="n">
        <v>1</v>
      </c>
      <c r="E20" s="16" t="inlineStr">
        <is>
          <t>SMDJ36CA</t>
        </is>
      </c>
      <c r="F20" s="16" t="inlineStr">
        <is>
          <t>D_SMC</t>
        </is>
      </c>
      <c r="G20" s="16" t="inlineStr">
        <is>
          <t>Littelfuse</t>
        </is>
      </c>
      <c r="H20" s="17" t="inlineStr">
        <is>
          <t>SMDJ36CA</t>
        </is>
      </c>
      <c r="I20" s="17" t="inlineStr">
        <is>
          <t>TVS 3000 W 36 V 양방향 SMC (입력 1단)</t>
        </is>
      </c>
      <c r="J20" s="19" t="n">
        <v>0.25</v>
      </c>
      <c r="K20" s="19" t="n">
        <v>0.6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D2 D30 D40</t>
        </is>
      </c>
      <c r="D21" s="18" t="n">
        <v>3</v>
      </c>
      <c r="E21" s="16" t="inlineStr">
        <is>
          <t>TVS3301DRBR</t>
        </is>
      </c>
      <c r="F21" s="16" t="inlineStr">
        <is>
          <t>Texas_DRB0008A_PadFloat</t>
        </is>
      </c>
      <c r="G21" s="16" t="inlineStr">
        <is>
          <t>TI</t>
        </is>
      </c>
      <c r="H21" s="17" t="inlineStr">
        <is>
          <t>TVS3301DRBR</t>
        </is>
      </c>
      <c r="I21" s="17" t="inlineStr">
        <is>
          <t>평탄 클램프 TVS 33 V 양방향, 40 V @ 27 A, SON-8 3×3 (아날로그 출력, TPS2661 데이터시트 권장)</t>
        </is>
      </c>
      <c r="J21" s="19" t="n">
        <v>0.35</v>
      </c>
      <c r="K21" s="19" t="n">
        <v>0.6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출력</t>
        </is>
      </c>
      <c r="C22" s="17" t="inlineStr">
        <is>
          <t>D50</t>
        </is>
      </c>
      <c r="D22" s="18" t="n">
        <v>1</v>
      </c>
      <c r="E22" s="16" t="inlineStr">
        <is>
          <t>BZX84C27</t>
        </is>
      </c>
      <c r="F22" s="16" t="inlineStr">
        <is>
          <t>SOT-23</t>
        </is>
      </c>
      <c r="G22" s="16" t="inlineStr">
        <is>
          <t>Nexperia</t>
        </is>
      </c>
      <c r="H22" s="17" t="inlineStr">
        <is>
          <t>BZX84-C27,215</t>
        </is>
      </c>
      <c r="I22" s="17" t="inlineStr">
        <is>
          <t>제너 27 V (25.1–28.9) SOT-23 — +Vs 이미터 폴로워 기준 (1 A, 2 NC, 3 K)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수동</t>
        </is>
      </c>
      <c r="C23" s="17" t="inlineStr">
        <is>
          <t>FB1</t>
        </is>
      </c>
      <c r="D23" s="18" t="n">
        <v>1</v>
      </c>
      <c r="E23" s="16" t="inlineStr">
        <is>
          <t>600R@100MHz</t>
        </is>
      </c>
      <c r="F23" s="16" t="inlineStr">
        <is>
          <t>L_0603_1608Metric</t>
        </is>
      </c>
      <c r="G23" s="16" t="inlineStr">
        <is>
          <t>Murata</t>
        </is>
      </c>
      <c r="H23" s="17" t="inlineStr">
        <is>
          <t>BLM18KG601SN1D</t>
        </is>
      </c>
      <c r="I23" s="17" t="inlineStr">
        <is>
          <t>페라이트 비드 600 Ω@100 MHz 0603</t>
        </is>
      </c>
      <c r="J23" s="19" t="n">
        <v>0.01</v>
      </c>
      <c r="K23" s="19" t="n">
        <v>0.03</v>
      </c>
      <c r="L23" s="20">
        <f>D23*J23</f>
        <v/>
      </c>
      <c r="M23" s="20">
        <f>D23*K23</f>
        <v/>
      </c>
      <c r="N23" s="16" t="inlineStr">
        <is>
          <t>제안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GDT1</t>
        </is>
      </c>
      <c r="D24" s="18" t="n">
        <v>1</v>
      </c>
      <c r="E24" s="16" t="inlineStr">
        <is>
          <t>2035-23-SM</t>
        </is>
      </c>
      <c r="F24" s="16" t="inlineStr">
        <is>
          <t>GDT_Bourns_2035-xx-SM</t>
        </is>
      </c>
      <c r="G24" s="16" t="inlineStr">
        <is>
          <t>Bourns</t>
        </is>
      </c>
      <c r="H24" s="17" t="inlineStr">
        <is>
          <t>2035-23-SM-RPLF</t>
        </is>
      </c>
      <c r="I24" s="17" t="inlineStr">
        <is>
          <t>2전극 SMD GDT 230 V, Ø5 × 4.4 mm (회로 GND–외함). ※ 이전 2038은 3전극이라 교체</t>
        </is>
      </c>
      <c r="J24" s="19" t="n">
        <v>0.4</v>
      </c>
      <c r="K24" s="19" t="n">
        <v>1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J1</t>
        </is>
      </c>
      <c r="D25" s="18" t="n">
        <v>1</v>
      </c>
      <c r="E25" s="16" t="inlineStr">
        <is>
          <t>SM08B-GHS-TB</t>
        </is>
      </c>
      <c r="F25" s="16" t="inlineStr">
        <is>
          <t>JST_GH_SM08B-GHS-TB_1x08-1MP_P1.25mm_Horizontal</t>
        </is>
      </c>
      <c r="G25" s="16" t="inlineStr">
        <is>
          <t>JST</t>
        </is>
      </c>
      <c r="H25" s="17" t="inlineStr">
        <is>
          <t>SM08B-GHS-TB</t>
        </is>
      </c>
      <c r="I25" s="17" t="inlineStr">
        <is>
          <t>GH 1.25 mm 8핀 헤더, 옆 삽입(직각) SMD (M12 하네스 W-2, 정격 −25~+85 °C)</t>
        </is>
      </c>
      <c r="J25" s="19" t="n">
        <v>0.35</v>
      </c>
      <c r="K25" s="19" t="n">
        <v>0.8</v>
      </c>
      <c r="L25" s="20">
        <f>D25*J25</f>
        <v/>
      </c>
      <c r="M25" s="20">
        <f>D25*K25</f>
        <v/>
      </c>
      <c r="N25" s="16" t="inlineStr">
        <is>
          <t>제안</t>
        </is>
      </c>
    </row>
    <row r="26">
      <c r="A26" s="16" t="n">
        <v>25</v>
      </c>
      <c r="B26" s="16" t="inlineStr">
        <is>
          <t>생산</t>
        </is>
      </c>
      <c r="C26" s="17" t="inlineStr">
        <is>
          <t>J2</t>
        </is>
      </c>
      <c r="D26" s="18" t="n">
        <v>1</v>
      </c>
      <c r="E26" s="16" t="inlineStr">
        <is>
          <t>TC2030-IDC-NL</t>
        </is>
      </c>
      <c r="F26" s="16" t="inlineStr">
        <is>
          <t>Tag-Connect_TC2030-IDC-NL_2x03_P1.27mm_Vertical</t>
        </is>
      </c>
      <c r="G26" s="16" t="inlineStr">
        <is>
          <t>Tag-Connect</t>
        </is>
      </c>
      <c r="H26" s="17" t="inlineStr">
        <is>
          <t>(PCB 패드만)</t>
        </is>
      </c>
      <c r="I26" s="17" t="inlineStr">
        <is>
          <t>SWD 기록용 패드 — 부품 실장 없음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16" t="inlineStr">
        <is>
          <t>확정</t>
        </is>
      </c>
    </row>
    <row r="27">
      <c r="A27" s="16" t="n">
        <v>26</v>
      </c>
      <c r="B27" s="16" t="inlineStr">
        <is>
          <t>커넥터</t>
        </is>
      </c>
      <c r="C27" s="17" t="inlineStr">
        <is>
          <t>J3</t>
        </is>
      </c>
      <c r="D27" s="18" t="n">
        <v>1</v>
      </c>
      <c r="E27" s="16" t="inlineStr">
        <is>
          <t>SM04B-SRSS-TB</t>
        </is>
      </c>
      <c r="F27" s="16" t="inlineStr">
        <is>
          <t>JST_SH_SM04B-SRSS-TB_1x04-1MP_P1.00mm_Horizontal</t>
        </is>
      </c>
      <c r="G27" s="16" t="inlineStr">
        <is>
          <t>JST</t>
        </is>
      </c>
      <c r="H27" s="17" t="inlineStr">
        <is>
          <t>SM04B-SRSS-TB</t>
        </is>
      </c>
      <c r="I27" s="17" t="inlineStr">
        <is>
          <t>SH 1.0 mm 4핀 헤더, 옆 삽입(직각) SMD (센서 하네스 W-1, 정격 −25~+85 °C)</t>
        </is>
      </c>
      <c r="J27" s="19" t="n">
        <v>0.3</v>
      </c>
      <c r="K27" s="19" t="n">
        <v>0.6</v>
      </c>
      <c r="L27" s="20">
        <f>D27*J27</f>
        <v/>
      </c>
      <c r="M27" s="20">
        <f>D27*K27</f>
        <v/>
      </c>
      <c r="N27" s="16" t="inlineStr">
        <is>
          <t>제안</t>
        </is>
      </c>
    </row>
    <row r="28">
      <c r="A28" s="16" t="n">
        <v>27</v>
      </c>
      <c r="B28" s="16" t="inlineStr">
        <is>
          <t>커넥터</t>
        </is>
      </c>
      <c r="C28" s="17" t="inlineStr">
        <is>
          <t>J5</t>
        </is>
      </c>
      <c r="D28" s="18" t="n">
        <v>1</v>
      </c>
      <c r="E28" s="16" t="inlineStr">
        <is>
          <t>CHASSIS wire</t>
        </is>
      </c>
      <c r="F28" s="16" t="inlineStr">
        <is>
          <t>SolderWire_Chassis_D0.6mm</t>
        </is>
      </c>
      <c r="G28" s="16" t="inlineStr">
        <is>
          <t>-</t>
        </is>
      </c>
      <c r="H28" s="17" t="inlineStr">
        <is>
          <t>PCB 납땜 구멍 (부품 없음)</t>
        </is>
      </c>
      <c r="I28" s="17" t="inlineStr">
        <is>
          <t>샤시 선 AWG 28 PTFE 약 25 mm + M2 링 단자 → 홀더 축 나사. 선·단자는 기구 부품표(JLCMC)</t>
        </is>
      </c>
      <c r="J28" s="19" t="n">
        <v>0</v>
      </c>
      <c r="K28" s="19" t="n">
        <v>0</v>
      </c>
      <c r="L28" s="20">
        <f>D28*J28</f>
        <v/>
      </c>
      <c r="M28" s="20">
        <f>D28*K28</f>
        <v/>
      </c>
      <c r="N28" s="16" t="inlineStr">
        <is>
          <t>확정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L1</t>
        </is>
      </c>
      <c r="D29" s="18" t="n">
        <v>1</v>
      </c>
      <c r="E29" s="16" t="inlineStr">
        <is>
          <t>CMC 1mH 0.8A</t>
        </is>
      </c>
      <c r="F29" s="16" t="inlineStr">
        <is>
          <t>L_CommonMode_Wuerth_WE-SL2</t>
        </is>
      </c>
      <c r="G29" s="16" t="inlineStr">
        <is>
          <t>Würth</t>
        </is>
      </c>
      <c r="H29" s="17" t="inlineStr">
        <is>
          <t>744222</t>
        </is>
      </c>
      <c r="I29" s="17" t="inlineStr">
        <is>
          <t>WE-SL2 공통모드 초크 2 × 1 mH, 0.8 A, 310 mΩ, 9.2 × 6 × 5 mm (권선 1–4, 2–3: 데이터시트로 확인)</t>
        </is>
      </c>
      <c r="J29" s="19" t="n">
        <v>0.8</v>
      </c>
      <c r="K29" s="19" t="n">
        <v>1.5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L2</t>
        </is>
      </c>
      <c r="D30" s="18" t="n">
        <v>1</v>
      </c>
      <c r="E30" s="16" t="inlineStr">
        <is>
          <t>15uH</t>
        </is>
      </c>
      <c r="F30" s="16" t="inlineStr">
        <is>
          <t>L_Coilcraft_XAL4030-XXX</t>
        </is>
      </c>
      <c r="G30" s="16" t="inlineStr">
        <is>
          <t>Coilcraft</t>
        </is>
      </c>
      <c r="H30" s="17" t="inlineStr">
        <is>
          <t>XGL4030-153MEC</t>
        </is>
      </c>
      <c r="I30" s="17" t="inlineStr">
        <is>
          <t>파워 인덕터 15 µH, 4 × 4 × 3.1 mm (XAL4030 풋프린트) — LMR36006 5 V·1 MHz 권장값</t>
        </is>
      </c>
      <c r="J30" s="19" t="n">
        <v>0.3</v>
      </c>
      <c r="K30" s="19" t="n">
        <v>0.7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출력</t>
        </is>
      </c>
      <c r="C31" s="17" t="inlineStr">
        <is>
          <t>Q1</t>
        </is>
      </c>
      <c r="D31" s="18" t="n">
        <v>1</v>
      </c>
      <c r="E31" s="16" t="inlineStr">
        <is>
          <t>MMBTA06</t>
        </is>
      </c>
      <c r="F31" s="16" t="inlineStr">
        <is>
          <t>SOT-23</t>
        </is>
      </c>
      <c r="G31" s="16" t="inlineStr">
        <is>
          <t>onsemi / Nexperia</t>
        </is>
      </c>
      <c r="H31" s="17" t="inlineStr">
        <is>
          <t>MMBTA06LT1G</t>
        </is>
      </c>
      <c r="I31" s="17" t="inlineStr">
        <is>
          <t>NPN 80 V 0.5 A SOT-23 — TPS26611 +Vs 이미터 폴로워 (1 B, 2 E, 3 C)</t>
        </is>
      </c>
      <c r="J31" s="19" t="n">
        <v>0.02</v>
      </c>
      <c r="K31" s="19" t="n">
        <v>0.05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보호</t>
        </is>
      </c>
      <c r="C32" s="17" t="inlineStr">
        <is>
          <t>R1</t>
        </is>
      </c>
      <c r="D32" s="18" t="n">
        <v>1</v>
      </c>
      <c r="E32" s="16" t="inlineStr">
        <is>
          <t>4.7R 1W pulse</t>
        </is>
      </c>
      <c r="F32" s="16" t="inlineStr">
        <is>
          <t>R_MELF_MMB-0207</t>
        </is>
      </c>
      <c r="G32" s="16" t="inlineStr">
        <is>
          <t>Vishay</t>
        </is>
      </c>
      <c r="H32" s="17" t="inlineStr">
        <is>
          <t>MMB02070C4708FB200</t>
        </is>
      </c>
      <c r="I32" s="17" t="inlineStr">
        <is>
          <t>MELF 0207 박막 4.7 Ω 1% 1 W, AEC-Q200 (입력 직렬, 1단·2단 서지 분담)</t>
        </is>
      </c>
      <c r="J32" s="19" t="n">
        <v>0.1</v>
      </c>
      <c r="K32" s="19" t="n">
        <v>0.3</v>
      </c>
      <c r="L32" s="20">
        <f>D32*J32</f>
        <v/>
      </c>
      <c r="M32" s="20">
        <f>D32*K32</f>
        <v/>
      </c>
      <c r="N32" s="16" t="inlineStr">
        <is>
          <t>확정</t>
        </is>
      </c>
    </row>
    <row r="33">
      <c r="A33" s="16" t="n">
        <v>32</v>
      </c>
      <c r="B33" s="16" t="inlineStr">
        <is>
          <t>보호</t>
        </is>
      </c>
      <c r="C33" s="17" t="inlineStr">
        <is>
          <t>R2</t>
        </is>
      </c>
      <c r="D33" s="18" t="n">
        <v>1</v>
      </c>
      <c r="E33" s="16" t="inlineStr">
        <is>
          <t>1M HV</t>
        </is>
      </c>
      <c r="F33" s="16" t="inlineStr">
        <is>
          <t>R_1206_3216Metric</t>
        </is>
      </c>
      <c r="G33" s="16" t="inlineStr">
        <is>
          <t>(HV 1206)</t>
        </is>
      </c>
      <c r="H33" s="17" t="inlineStr">
        <is>
          <t>품번 확인 필요 — 1 MΩ 1206 고전압 (사용 전압 ≥ 1 kV)</t>
        </is>
      </c>
      <c r="I33" s="17" t="inlineStr">
        <is>
          <t>고전압 칩 저항 1 MΩ 1206, 사용 전압 ≥ 1 kV (GDT 방전 전 임펄스, v0.9: 일반 0603 → HV 1206)</t>
        </is>
      </c>
      <c r="J33" s="19" t="n">
        <v>0.05</v>
      </c>
      <c r="K33" s="19" t="n">
        <v>0.2</v>
      </c>
      <c r="L33" s="20">
        <f>D33*J33</f>
        <v/>
      </c>
      <c r="M33" s="20">
        <f>D33*K33</f>
        <v/>
      </c>
      <c r="N33" s="21" t="inlineStr">
        <is>
          <t>확인 필요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R3</t>
        </is>
      </c>
      <c r="D34" s="18" t="n">
        <v>1</v>
      </c>
      <c r="E34" s="16" t="inlineStr">
        <is>
          <t>866k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RC0603FR-07866KL</t>
        </is>
      </c>
      <c r="I34" s="17" t="inlineStr">
        <is>
          <t>저항 866 kΩ 1% 0603 (UVLO)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R4</t>
        </is>
      </c>
      <c r="D35" s="18" t="n">
        <v>1</v>
      </c>
      <c r="E35" s="16" t="inlineStr">
        <is>
          <t>97.6k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RC0603FR-0797K6L</t>
        </is>
      </c>
      <c r="I35" s="17" t="inlineStr">
        <is>
          <t>저항 97.6 kΩ 1% 0603 (UVLO/OVP)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R5</t>
        </is>
      </c>
      <c r="D36" s="18" t="n">
        <v>1</v>
      </c>
      <c r="E36" s="16" t="inlineStr">
        <is>
          <t>36.5k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RC0603FR-0736K5L</t>
        </is>
      </c>
      <c r="I36" s="17" t="inlineStr">
        <is>
          <t>저항 36.5 kΩ 1% 0603 (OVP 32.6 V, 복귀 30.1 V — v0.9)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R6</t>
        </is>
      </c>
      <c r="D37" s="18" t="n">
        <v>1</v>
      </c>
      <c r="E37" s="16" t="inlineStr">
        <is>
          <t>80.6k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RC0603FR-0780K6L</t>
        </is>
      </c>
      <c r="I37" s="17" t="inlineStr">
        <is>
          <t>저항 80.6 kΩ 1% 0603 (TPS2660 전류제한 149 mA = 12/R)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R8 R14</t>
        </is>
      </c>
      <c r="D38" s="18" t="n">
        <v>2</v>
      </c>
      <c r="E38" s="16" t="inlineStr">
        <is>
          <t>100k 1%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RC0603FR-07100KL</t>
        </is>
      </c>
      <c r="I38" s="17" t="inlineStr">
        <is>
          <t>저항 100 kΩ 1% 0603 (벅 FB, 전원 감시)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R9</t>
        </is>
      </c>
      <c r="D39" s="18" t="n">
        <v>1</v>
      </c>
      <c r="E39" s="16" t="inlineStr">
        <is>
          <t>24.9k 1%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RC0603FR-0724K9L</t>
        </is>
      </c>
      <c r="I39" s="17" t="inlineStr">
        <is>
          <t>저항 24.9 kΩ 1% 0603 (벅 FB)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</row>
    <row r="40">
      <c r="A40" s="16" t="n">
        <v>39</v>
      </c>
      <c r="B40" s="16" t="inlineStr">
        <is>
          <t>수동</t>
        </is>
      </c>
      <c r="C40" s="17" t="inlineStr">
        <is>
          <t>R10 R11 R33 R50 R60</t>
        </is>
      </c>
      <c r="D40" s="18" t="n">
        <v>5</v>
      </c>
      <c r="E40" s="16" t="inlineStr">
        <is>
          <t>10k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RC0603FR-0710KL</t>
        </is>
      </c>
      <c r="I40" s="17" t="inlineStr">
        <is>
          <t>저항 10 kΩ 1% 0603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</row>
    <row r="41">
      <c r="A41" s="16" t="n">
        <v>40</v>
      </c>
      <c r="B41" s="16" t="inlineStr">
        <is>
          <t>수동</t>
        </is>
      </c>
      <c r="C41" s="17" t="inlineStr">
        <is>
          <t>R12 R13 R31 R41</t>
        </is>
      </c>
      <c r="D41" s="18" t="n">
        <v>4</v>
      </c>
      <c r="E41" s="16" t="inlineStr">
        <is>
          <t>100k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RC0603FR-07100KL</t>
        </is>
      </c>
      <c r="I41" s="17" t="inlineStr">
        <is>
          <t>저항 100 kΩ 1% 0603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R15</t>
        </is>
      </c>
      <c r="D42" s="18" t="n">
        <v>1</v>
      </c>
      <c r="E42" s="16" t="inlineStr">
        <is>
          <t>10k 1%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RC0603FR-0710KL</t>
        </is>
      </c>
      <c r="I42" s="17" t="inlineStr">
        <is>
          <t>저항 10 kΩ 1% 0603 (전원 감시 분압)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R17 R18 R20</t>
        </is>
      </c>
      <c r="D43" s="18" t="n">
        <v>3</v>
      </c>
      <c r="E43" s="16" t="inlineStr">
        <is>
          <t>1k</t>
        </is>
      </c>
      <c r="F43" s="16" t="inlineStr">
        <is>
          <t>R_0603_1608Metric</t>
        </is>
      </c>
      <c r="G43" s="16" t="inlineStr">
        <is>
          <t>Yageo</t>
        </is>
      </c>
      <c r="H43" s="17" t="inlineStr">
        <is>
          <t>RC0603FR-071KL</t>
        </is>
      </c>
      <c r="I43" s="17" t="inlineStr">
        <is>
          <t>저항 1 kΩ 1% 0603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</row>
    <row r="44">
      <c r="A44" s="16" t="n">
        <v>43</v>
      </c>
      <c r="B44" s="16" t="inlineStr">
        <is>
          <t>측정</t>
        </is>
      </c>
      <c r="C44" s="17" t="inlineStr">
        <is>
          <t>R19</t>
        </is>
      </c>
      <c r="D44" s="18" t="n">
        <v>1</v>
      </c>
      <c r="E44" s="16" t="inlineStr">
        <is>
          <t>4.02k 0.02% 5ppm</t>
        </is>
      </c>
      <c r="F44" s="16" t="inlineStr">
        <is>
          <t>R_0603_1608Metric</t>
        </is>
      </c>
      <c r="G44" s="16" t="inlineStr">
        <is>
          <t>Vishay</t>
        </is>
      </c>
      <c r="H44" s="17" t="inlineStr">
        <is>
          <t>PLTT0603Z4021 (0.02 %, 5 ppm/K, 주문 접미사 확인)</t>
        </is>
      </c>
      <c r="I44" s="17" t="inlineStr">
        <is>
          <t>Pt1000 기준저항 4.02 kΩ 박막 0603, TCR 5 ppm/K (초기 오차는 교정으로 제거)</t>
        </is>
      </c>
      <c r="J44" s="19" t="n">
        <v>1</v>
      </c>
      <c r="K44" s="19" t="n">
        <v>4</v>
      </c>
      <c r="L44" s="20">
        <f>D44*J44</f>
        <v/>
      </c>
      <c r="M44" s="20">
        <f>D44*K44</f>
        <v/>
      </c>
      <c r="N44" s="16" t="inlineStr">
        <is>
          <t>제안</t>
        </is>
      </c>
    </row>
    <row r="45">
      <c r="A45" s="16" t="n">
        <v>44</v>
      </c>
      <c r="B45" s="16" t="inlineStr">
        <is>
          <t>보호</t>
        </is>
      </c>
      <c r="C45" s="17" t="inlineStr">
        <is>
          <t>R30 R40</t>
        </is>
      </c>
      <c r="D45" s="18" t="n">
        <v>2</v>
      </c>
      <c r="E45" s="16" t="inlineStr">
        <is>
          <t>10R pulse</t>
        </is>
      </c>
      <c r="F45" s="16" t="inlineStr">
        <is>
          <t>R_2512_6332Metric</t>
        </is>
      </c>
      <c r="G45" s="16" t="inlineStr">
        <is>
          <t>Vishay</t>
        </is>
      </c>
      <c r="H45" s="17" t="inlineStr">
        <is>
          <t>CRCW251210R0FKEGHP</t>
        </is>
      </c>
      <c r="I45" s="17" t="inlineStr">
        <is>
          <t>CRCW-HP 2512 10 Ω 1% 1.5 W 펄스 내성, AEC-Q200 (출력 직렬)</t>
        </is>
      </c>
      <c r="J45" s="19" t="n">
        <v>0.05</v>
      </c>
      <c r="K45" s="19" t="n">
        <v>0.15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출력</t>
        </is>
      </c>
      <c r="C46" s="17" t="inlineStr">
        <is>
          <t>R32 R42</t>
        </is>
      </c>
      <c r="D46" s="18" t="n">
        <v>2</v>
      </c>
      <c r="E46" s="16" t="inlineStr">
        <is>
          <t>15k 0.1% 25ppm</t>
        </is>
      </c>
      <c r="F46" s="16" t="inlineStr">
        <is>
          <t>R_0603_1608Metric</t>
        </is>
      </c>
      <c r="G46" s="16" t="inlineStr">
        <is>
          <t>Yageo</t>
        </is>
      </c>
      <c r="H46" s="17" t="inlineStr">
        <is>
          <t>RT0603BRD0715KL</t>
        </is>
      </c>
      <c r="I46" s="17" t="inlineStr">
        <is>
          <t>저항 15 kΩ 0.1% 25 ppm/K 0603 (DAC8760 외부 ISET-R)</t>
        </is>
      </c>
      <c r="J46" s="19" t="n">
        <v>0.02</v>
      </c>
      <c r="K46" s="19" t="n">
        <v>0.06</v>
      </c>
      <c r="L46" s="20">
        <f>D46*J46</f>
        <v/>
      </c>
      <c r="M46" s="20">
        <f>D46*K46</f>
        <v/>
      </c>
      <c r="N46" s="16" t="inlineStr">
        <is>
          <t>제안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R34 R44</t>
        </is>
      </c>
      <c r="D47" s="18" t="n">
        <v>2</v>
      </c>
      <c r="E47" s="16" t="inlineStr">
        <is>
          <t>10R</t>
        </is>
      </c>
      <c r="F47" s="16" t="inlineStr">
        <is>
          <t>R_0603_1608Metric</t>
        </is>
      </c>
      <c r="G47" s="16" t="inlineStr">
        <is>
          <t>Yageo</t>
        </is>
      </c>
      <c r="H47" s="17" t="inlineStr">
        <is>
          <t>RC0603FR-0710RL</t>
        </is>
      </c>
      <c r="I47" s="17" t="inlineStr">
        <is>
          <t>저항 10 Ω 1% 0603 (DAC8760 AVDD 직렬, 데이터시트 10장)</t>
        </is>
      </c>
      <c r="J47" s="19" t="n">
        <v>0.002</v>
      </c>
      <c r="K47" s="19" t="n">
        <v>0.005</v>
      </c>
      <c r="L47" s="20">
        <f>D47*J47</f>
        <v/>
      </c>
      <c r="M47" s="20">
        <f>D47*K47</f>
        <v/>
      </c>
      <c r="N47" s="16" t="inlineStr">
        <is>
          <t>제안</t>
        </is>
      </c>
    </row>
    <row r="48">
      <c r="A48" s="16" t="n">
        <v>47</v>
      </c>
      <c r="B48" s="16" t="inlineStr">
        <is>
          <t>전원</t>
        </is>
      </c>
      <c r="C48" s="17" t="inlineStr">
        <is>
          <t>U1</t>
        </is>
      </c>
      <c r="D48" s="18" t="n">
        <v>1</v>
      </c>
      <c r="E48" s="16" t="inlineStr">
        <is>
          <t>TPS26600PWPR</t>
        </is>
      </c>
      <c r="F48" s="16" t="inlineStr">
        <is>
          <t>HTSSOP-16-1EP_4.4x5mm_P0.65mm_EP3.4x5mm_Mask2.46x2.31mm_ThermalVias</t>
        </is>
      </c>
      <c r="G48" s="16" t="inlineStr">
        <is>
          <t>TI</t>
        </is>
      </c>
      <c r="H48" s="17" t="inlineStr">
        <is>
          <t>TPS26600PWPR</t>
        </is>
      </c>
      <c r="I48" s="17" t="inlineStr">
        <is>
          <t>eFuse 60 V 2 A, 역극성·OVP·UVLO, HTSSOP-16</t>
        </is>
      </c>
      <c r="J48" s="19" t="n">
        <v>1.5</v>
      </c>
      <c r="K48" s="19" t="n">
        <v>3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전원</t>
        </is>
      </c>
      <c r="C49" s="17" t="inlineStr">
        <is>
          <t>U2</t>
        </is>
      </c>
      <c r="D49" s="18" t="n">
        <v>1</v>
      </c>
      <c r="E49" s="16" t="inlineStr">
        <is>
          <t>LMR36006BRNXR</t>
        </is>
      </c>
      <c r="F49" s="16" t="inlineStr">
        <is>
          <t>Texas_RNX0012A_VQFN-HR-12_2x3mm</t>
        </is>
      </c>
      <c r="G49" s="16" t="inlineStr">
        <is>
          <t>TI</t>
        </is>
      </c>
      <c r="H49" s="17" t="inlineStr">
        <is>
          <t>LMR36006BRNXR</t>
        </is>
      </c>
      <c r="I49" s="17" t="inlineStr">
        <is>
          <t>벅 60 V 0.6 A → 5 V, 1 MHz 조정형, VQFN-HR 12핀 2×3 mm</t>
        </is>
      </c>
      <c r="J49" s="19" t="n">
        <v>1</v>
      </c>
      <c r="K49" s="19" t="n">
        <v>1.6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전원</t>
        </is>
      </c>
      <c r="C50" s="17" t="inlineStr">
        <is>
          <t>U3</t>
        </is>
      </c>
      <c r="D50" s="18" t="n">
        <v>1</v>
      </c>
      <c r="E50" s="16" t="inlineStr">
        <is>
          <t>TPS7A2033PDBVR</t>
        </is>
      </c>
      <c r="F50" s="16" t="inlineStr">
        <is>
          <t>SOT-23-5</t>
        </is>
      </c>
      <c r="G50" s="16" t="inlineStr">
        <is>
          <t>TI</t>
        </is>
      </c>
      <c r="H50" s="17" t="inlineStr">
        <is>
          <t>TPS7A2033PDBVR</t>
        </is>
      </c>
      <c r="I50" s="17" t="inlineStr">
        <is>
          <t>LDO 3.3 V 300 mA 저잡음 SOT-23-5</t>
        </is>
      </c>
      <c r="J50" s="19" t="n">
        <v>0.07000000000000001</v>
      </c>
      <c r="K50" s="19" t="n">
        <v>0.3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MCU</t>
        </is>
      </c>
      <c r="C51" s="17" t="inlineStr">
        <is>
          <t>U4</t>
        </is>
      </c>
      <c r="D51" s="18" t="n">
        <v>1</v>
      </c>
      <c r="E51" s="16" t="inlineStr">
        <is>
          <t>STM32G0B1CCT3</t>
        </is>
      </c>
      <c r="F51" s="16" t="inlineStr">
        <is>
          <t>LQFP-48_7x7mm_P0.5mm</t>
        </is>
      </c>
      <c r="G51" s="16" t="inlineStr">
        <is>
          <t>ST</t>
        </is>
      </c>
      <c r="H51" s="17" t="inlineStr">
        <is>
          <t>STM32G0B1CCT3</t>
        </is>
      </c>
      <c r="I51" s="17" t="inlineStr">
        <is>
          <t>MCU Cortex-M0+ 64 MHz 256 KB, LQFP48, −40~125 °C (사내 DP2000 G0B1CCT6 동일 다이)</t>
        </is>
      </c>
      <c r="J51" s="19" t="n">
        <v>1.5</v>
      </c>
      <c r="K51" s="19" t="n">
        <v>2.5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측정</t>
        </is>
      </c>
      <c r="C52" s="17" t="inlineStr">
        <is>
          <t>U5</t>
        </is>
      </c>
      <c r="D52" s="18" t="n">
        <v>1</v>
      </c>
      <c r="E52" s="16" t="inlineStr">
        <is>
          <t>PCAP04-AQFM-24</t>
        </is>
      </c>
      <c r="F52" s="16" t="inlineStr">
        <is>
          <t>QFN-24-1EP_4x4mm_P0.5mm_EP2.6x2.6mm</t>
        </is>
      </c>
      <c r="G52" s="16" t="inlineStr">
        <is>
          <t>ScioSense</t>
        </is>
      </c>
      <c r="H52" s="17" t="inlineStr">
        <is>
          <t>PCAP04-AQFM-24</t>
        </is>
      </c>
      <c r="I52" s="17" t="inlineStr">
        <is>
          <t>정전용량-디지털 변환기 QFN24</t>
        </is>
      </c>
      <c r="J52" s="19" t="n">
        <v>6.5</v>
      </c>
      <c r="K52" s="19" t="n">
        <v>7.1</v>
      </c>
      <c r="L52" s="20">
        <f>D52*J52</f>
        <v/>
      </c>
      <c r="M52" s="20">
        <f>D52*K52</f>
        <v/>
      </c>
      <c r="N52" s="16" t="inlineStr">
        <is>
          <t>확정</t>
        </is>
      </c>
    </row>
    <row r="53">
      <c r="A53" s="16" t="n">
        <v>52</v>
      </c>
      <c r="B53" s="16" t="inlineStr">
        <is>
          <t>측정</t>
        </is>
      </c>
      <c r="C53" s="17" t="inlineStr">
        <is>
          <t>U6</t>
        </is>
      </c>
      <c r="D53" s="18" t="n">
        <v>1</v>
      </c>
      <c r="E53" s="16" t="inlineStr">
        <is>
          <t>ADS1220IPWR</t>
        </is>
      </c>
      <c r="F53" s="16" t="inlineStr">
        <is>
          <t>TSSOP-16_4.4x5mm_P0.65mm</t>
        </is>
      </c>
      <c r="G53" s="16" t="inlineStr">
        <is>
          <t>TI</t>
        </is>
      </c>
      <c r="H53" s="17" t="inlineStr">
        <is>
          <t>ADS1220IPWR</t>
        </is>
      </c>
      <c r="I53" s="17" t="inlineStr">
        <is>
          <t>24-bit ADC, Pt1000 2선 (J3 패드에서 켈빈 분기), TSSOP-16</t>
        </is>
      </c>
      <c r="J53" s="19" t="n">
        <v>1.9</v>
      </c>
      <c r="K53" s="19" t="n">
        <v>3.5</v>
      </c>
      <c r="L53" s="20">
        <f>D53*J53</f>
        <v/>
      </c>
      <c r="M53" s="20">
        <f>D53*K53</f>
        <v/>
      </c>
      <c r="N53" s="16" t="inlineStr">
        <is>
          <t>확정</t>
        </is>
      </c>
    </row>
    <row r="54">
      <c r="A54" s="16" t="n">
        <v>53</v>
      </c>
      <c r="B54" s="16" t="inlineStr">
        <is>
          <t>출력</t>
        </is>
      </c>
      <c r="C54" s="17" t="inlineStr">
        <is>
          <t>U7 U8</t>
        </is>
      </c>
      <c r="D54" s="18" t="n">
        <v>2</v>
      </c>
      <c r="E54" s="16" t="inlineStr">
        <is>
          <t>DAC8760IPWP</t>
        </is>
      </c>
      <c r="F54" s="16" t="inlineStr">
        <is>
          <t>HTSSOP-24-1EP_4.4x7.8mm_P0.65mm_EP3.2x5mm</t>
        </is>
      </c>
      <c r="G54" s="16" t="inlineStr">
        <is>
          <t>TI</t>
        </is>
      </c>
      <c r="H54" s="17" t="inlineStr">
        <is>
          <t>DAC8760IPWPR</t>
        </is>
      </c>
      <c r="I54" s="17" t="inlineStr">
        <is>
          <t>16-bit 전압/전류 출력 DAC, HTSSOP-24. 사양 확정 후 같은 핀 대체: DAC7760(12-bit V/I), DAC8750(16-bit 전류), DAC7750(12-bit 전류)</t>
        </is>
      </c>
      <c r="J54" s="19" t="n">
        <v>7.8</v>
      </c>
      <c r="K54" s="19" t="n">
        <v>12.4</v>
      </c>
      <c r="L54" s="20">
        <f>D54*J54</f>
        <v/>
      </c>
      <c r="M54" s="20">
        <f>D54*K54</f>
        <v/>
      </c>
      <c r="N54" s="16" t="inlineStr">
        <is>
          <t>확정</t>
        </is>
      </c>
    </row>
    <row r="55">
      <c r="A55" s="16" t="n">
        <v>54</v>
      </c>
      <c r="B55" s="16" t="inlineStr">
        <is>
          <t>출력</t>
        </is>
      </c>
      <c r="C55" s="17" t="inlineStr">
        <is>
          <t>U9 U10</t>
        </is>
      </c>
      <c r="D55" s="18" t="n">
        <v>2</v>
      </c>
      <c r="E55" s="16" t="inlineStr">
        <is>
          <t>TPS26611DDFR</t>
        </is>
      </c>
      <c r="F55" s="16" t="inlineStr">
        <is>
          <t>SOT-23-8</t>
        </is>
      </c>
      <c r="G55" s="16" t="inlineStr">
        <is>
          <t>TI</t>
        </is>
      </c>
      <c r="H55" s="17" t="inlineStr">
        <is>
          <t>TPS26611DDFR</t>
        </is>
      </c>
      <c r="I55" s="17" t="inlineStr">
        <is>
          <t>±50 V 아날로그 출력 오결선 보호, 32 mA 제한, SOT-23-8</t>
        </is>
      </c>
      <c r="J55" s="19" t="n">
        <v>1.2</v>
      </c>
      <c r="K55" s="19" t="n">
        <v>2.5</v>
      </c>
      <c r="L55" s="20">
        <f>D55*J55</f>
        <v/>
      </c>
      <c r="M55" s="20">
        <f>D55*K55</f>
        <v/>
      </c>
      <c r="N55" s="16" t="inlineStr">
        <is>
          <t>확정</t>
        </is>
      </c>
    </row>
    <row r="56">
      <c r="A56" s="16" t="n">
        <v>55</v>
      </c>
      <c r="B56" s="16" t="inlineStr">
        <is>
          <t>통신</t>
        </is>
      </c>
      <c r="C56" s="17" t="inlineStr">
        <is>
          <t>U11</t>
        </is>
      </c>
      <c r="D56" s="18" t="n">
        <v>1</v>
      </c>
      <c r="E56" s="16" t="inlineStr">
        <is>
          <t>THVD2410DR</t>
        </is>
      </c>
      <c r="F56" s="16" t="inlineStr">
        <is>
          <t>SOIC-8_3.9x4.9mm_P1.27mm</t>
        </is>
      </c>
      <c r="G56" s="16" t="inlineStr">
        <is>
          <t>TI</t>
        </is>
      </c>
      <c r="H56" s="17" t="inlineStr">
        <is>
          <t>THVD2410DR</t>
        </is>
      </c>
      <c r="I56" s="17" t="inlineStr">
        <is>
          <t>RS-485 트랜시버 500 kbps (느린 에지), 버스 ±70 V 내성, SOIC-8 — THVD2450과 같은 핀 (v0.9)</t>
        </is>
      </c>
      <c r="J56" s="19" t="n">
        <v>1.5</v>
      </c>
      <c r="K56" s="19" t="n">
        <v>3</v>
      </c>
      <c r="L56" s="20">
        <f>D56*J56</f>
        <v/>
      </c>
      <c r="M56" s="20">
        <f>D56*K56</f>
        <v/>
      </c>
      <c r="N56" s="16" t="inlineStr">
        <is>
          <t>확정</t>
        </is>
      </c>
    </row>
    <row r="57">
      <c r="A57" s="16" t="n">
        <v>56</v>
      </c>
      <c r="B57" s="16" t="inlineStr">
        <is>
          <t>출력</t>
        </is>
      </c>
      <c r="C57" s="17" t="inlineStr">
        <is>
          <t>U12 U13</t>
        </is>
      </c>
      <c r="D57" s="18" t="n">
        <v>2</v>
      </c>
      <c r="E57" s="16" t="inlineStr">
        <is>
          <t>OPA197IDBVR</t>
        </is>
      </c>
      <c r="F57" s="16" t="inlineStr">
        <is>
          <t>SOT-23-5</t>
        </is>
      </c>
      <c r="G57" s="16" t="inlineStr">
        <is>
          <t>TI</t>
        </is>
      </c>
      <c r="H57" s="17" t="inlineStr">
        <is>
          <t>OPA197IDBVR</t>
        </is>
      </c>
      <c r="I57" s="17" t="inlineStr">
        <is>
          <t>36 V 레일투레일 연산증폭기 SOT-23-5 — DAC8760 +VSENSE 버퍼 (이득 1)</t>
        </is>
      </c>
      <c r="J57" s="19" t="n">
        <v>0.6</v>
      </c>
      <c r="K57" s="19" t="n">
        <v>1.1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출력</t>
        </is>
      </c>
      <c r="C58" s="17" t="inlineStr">
        <is>
          <t>U14</t>
        </is>
      </c>
      <c r="D58" s="18" t="n">
        <v>1</v>
      </c>
      <c r="E58" s="16" t="inlineStr">
        <is>
          <t>SN74LVC2G32DCUR</t>
        </is>
      </c>
      <c r="F58" s="16" t="inlineStr">
        <is>
          <t>VSSOP-8_2.3x2mm_P0.5mm</t>
        </is>
      </c>
      <c r="G58" s="16" t="inlineStr">
        <is>
          <t>TI</t>
        </is>
      </c>
      <c r="H58" s="17" t="inlineStr">
        <is>
          <t>SN74LVC2G32DCUR</t>
        </is>
      </c>
      <c r="I58" s="17" t="inlineStr">
        <is>
          <t>OR 게이트 2회로 VSSOP-8 — DAC별 SCLK 게이트 (DAC8760 8.5.1.5)</t>
        </is>
      </c>
      <c r="J58" s="19" t="n">
        <v>0.08</v>
      </c>
      <c r="K58" s="19" t="n">
        <v>0.2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기판</t>
        </is>
      </c>
      <c r="C59" s="17" t="inlineStr">
        <is>
          <t>PCB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-</t>
        </is>
      </c>
      <c r="H59" s="17" t="inlineStr">
        <is>
          <t>HMT500(260313A) (E-301)</t>
        </is>
      </c>
      <c r="I59" s="17" t="inlineStr">
        <is>
          <t>PCB 4층 57×23 mm, FR-4 1.6 t, ENIG (기구 Rev C 외곽)</t>
        </is>
      </c>
      <c r="J59" s="19" t="n">
        <v>0.8</v>
      </c>
      <c r="K59" s="19" t="n">
        <v>2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센서</t>
        </is>
      </c>
      <c r="C60" s="17" t="inlineStr">
        <is>
          <t>센서 헤드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IST</t>
        </is>
      </c>
      <c r="H60" s="17" t="inlineStr">
        <is>
          <t>MK33-W mini (150138)</t>
        </is>
      </c>
      <c r="I60" s="17" t="inlineStr">
        <is>
          <t>정전용량 습도 소자 200 pF (센서 프로브 P-202에 실장)</t>
        </is>
      </c>
      <c r="J60" s="19" t="n">
        <v>0</v>
      </c>
      <c r="K60" s="19" t="n">
        <v>0</v>
      </c>
      <c r="L60" s="20">
        <f>D60*J60</f>
        <v/>
      </c>
      <c r="M60" s="20">
        <f>D60*K60</f>
        <v/>
      </c>
      <c r="N60" s="21" t="inlineStr">
        <is>
          <t>사내 단가</t>
        </is>
      </c>
    </row>
    <row r="61">
      <c r="A61" s="16" t="n">
        <v>60</v>
      </c>
      <c r="B61" s="16" t="inlineStr">
        <is>
          <t>센서</t>
        </is>
      </c>
      <c r="C61" s="17" t="inlineStr">
        <is>
          <t>센서 헤드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IST</t>
        </is>
      </c>
      <c r="H61" s="17" t="inlineStr">
        <is>
          <t>MiniSens Pt1000 F0.1</t>
        </is>
      </c>
      <c r="I61" s="17" t="inlineStr">
        <is>
          <t>온도 소자 1.6×1.2 mm (센서 프로브 P-202에 실장)</t>
        </is>
      </c>
      <c r="J61" s="19" t="n">
        <v>0.5</v>
      </c>
      <c r="K61" s="19" t="n">
        <v>3</v>
      </c>
      <c r="L61" s="20">
        <f>D61*J61</f>
        <v/>
      </c>
      <c r="M61" s="20">
        <f>D61*K61</f>
        <v/>
      </c>
      <c r="N61" s="21" t="inlineStr">
        <is>
          <t>추정</t>
        </is>
      </c>
    </row>
    <row r="62">
      <c r="A62" s="16" t="n">
        <v>61</v>
      </c>
      <c r="B62" s="16" t="inlineStr">
        <is>
          <t>커넥터</t>
        </is>
      </c>
      <c r="C62" s="17" t="inlineStr">
        <is>
          <t>P-204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M Connect</t>
        </is>
      </c>
      <c r="H62" s="17" t="inlineStr">
        <is>
          <t>TBD (두텍 사용품)</t>
        </is>
      </c>
      <c r="I62" s="17" t="inlineStr">
        <is>
          <t>M12 8핀 수컷 전면 장착형 M16×1.5, 리드선형 (W-2 납땜)</t>
        </is>
      </c>
      <c r="J62" s="19" t="n">
        <v>2</v>
      </c>
      <c r="K62" s="19" t="n">
        <v>10</v>
      </c>
      <c r="L62" s="20">
        <f>D62*J62</f>
        <v/>
      </c>
      <c r="M62" s="20">
        <f>D62*K62</f>
        <v/>
      </c>
      <c r="N62" s="22" t="inlineStr">
        <is>
          <t>TBD</t>
        </is>
      </c>
    </row>
    <row r="63">
      <c r="A63" s="16" t="n">
        <v>62</v>
      </c>
      <c r="B63" s="16" t="inlineStr">
        <is>
          <t>하네스</t>
        </is>
      </c>
      <c r="C63" s="17" t="inlineStr">
        <is>
          <t>W-2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JST</t>
        </is>
      </c>
      <c r="H63" s="17" t="inlineStr">
        <is>
          <t>GHR-08V-S</t>
        </is>
      </c>
      <c r="I63" s="17" t="inlineStr">
        <is>
          <t>GH 1.25 mm 8핀 소켓 하우징 (M12 하네스 W-2)</t>
        </is>
      </c>
      <c r="J63" s="19" t="n">
        <v>0.06</v>
      </c>
      <c r="K63" s="19" t="n">
        <v>0.15</v>
      </c>
      <c r="L63" s="20">
        <f>D63*J63</f>
        <v/>
      </c>
      <c r="M63" s="20">
        <f>D63*K63</f>
        <v/>
      </c>
      <c r="N63" s="16" t="inlineStr">
        <is>
          <t>제안</t>
        </is>
      </c>
    </row>
    <row r="64">
      <c r="A64" s="16" t="n">
        <v>63</v>
      </c>
      <c r="B64" s="16" t="inlineStr">
        <is>
          <t>하네스</t>
        </is>
      </c>
      <c r="C64" s="17" t="inlineStr">
        <is>
          <t>W-2</t>
        </is>
      </c>
      <c r="D64" s="18" t="n">
        <v>8</v>
      </c>
      <c r="E64" s="16" t="inlineStr">
        <is>
          <t>-</t>
        </is>
      </c>
      <c r="F64" s="16" t="inlineStr">
        <is>
          <t>-</t>
        </is>
      </c>
      <c r="G64" s="16" t="inlineStr">
        <is>
          <t>JST</t>
        </is>
      </c>
      <c r="H64" s="17" t="inlineStr">
        <is>
          <t>SSHL-002T-P0.2</t>
        </is>
      </c>
      <c r="I64" s="17" t="inlineStr">
        <is>
          <t>GH 크림프 단자 AWG 30–26</t>
        </is>
      </c>
      <c r="J64" s="19" t="n">
        <v>0.03</v>
      </c>
      <c r="K64" s="19" t="n">
        <v>0.06</v>
      </c>
      <c r="L64" s="20">
        <f>D64*J64</f>
        <v/>
      </c>
      <c r="M64" s="20">
        <f>D64*K64</f>
        <v/>
      </c>
      <c r="N64" s="16" t="inlineStr">
        <is>
          <t>제안</t>
        </is>
      </c>
    </row>
    <row r="65">
      <c r="A65" s="16" t="n">
        <v>64</v>
      </c>
      <c r="B65" s="16" t="inlineStr">
        <is>
          <t>하네스</t>
        </is>
      </c>
      <c r="C65" s="17" t="inlineStr">
        <is>
          <t>W-2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TBD</t>
        </is>
      </c>
      <c r="H65" s="17" t="inlineStr">
        <is>
          <t>PTFE AWG28 전선</t>
        </is>
      </c>
      <c r="I65" s="17" t="inlineStr">
        <is>
          <t>UL1213 계열 200 °C, 8심 × 60 mm + 수축튜브 (M12 핀 납땜)</t>
        </is>
      </c>
      <c r="J65" s="19" t="n">
        <v>0.15</v>
      </c>
      <c r="K65" s="19" t="n">
        <v>0.4</v>
      </c>
      <c r="L65" s="20">
        <f>D65*J65</f>
        <v/>
      </c>
      <c r="M65" s="20">
        <f>D65*K65</f>
        <v/>
      </c>
      <c r="N65" s="21" t="inlineStr">
        <is>
          <t>추정</t>
        </is>
      </c>
    </row>
    <row r="66">
      <c r="A66" s="16" t="n">
        <v>65</v>
      </c>
      <c r="B66" s="16" t="inlineStr">
        <is>
          <t>하네스</t>
        </is>
      </c>
      <c r="C66" s="17" t="inlineStr">
        <is>
          <t>W-1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JST</t>
        </is>
      </c>
      <c r="H66" s="17" t="inlineStr">
        <is>
          <t>SHR-04V-S</t>
        </is>
      </c>
      <c r="I66" s="17" t="inlineStr">
        <is>
          <t>SH 1.0 mm 4핀 소켓 하우징 (센서 하네스 W-1)</t>
        </is>
      </c>
      <c r="J66" s="19" t="n">
        <v>0.04</v>
      </c>
      <c r="K66" s="19" t="n">
        <v>0.1</v>
      </c>
      <c r="L66" s="20">
        <f>D66*J66</f>
        <v/>
      </c>
      <c r="M66" s="20">
        <f>D66*K66</f>
        <v/>
      </c>
      <c r="N66" s="16" t="inlineStr">
        <is>
          <t>제안</t>
        </is>
      </c>
    </row>
    <row r="67">
      <c r="A67" s="16" t="n">
        <v>66</v>
      </c>
      <c r="B67" s="16" t="inlineStr">
        <is>
          <t>하네스</t>
        </is>
      </c>
      <c r="C67" s="17" t="inlineStr">
        <is>
          <t>W-1</t>
        </is>
      </c>
      <c r="D67" s="18" t="n">
        <v>4</v>
      </c>
      <c r="E67" s="16" t="inlineStr">
        <is>
          <t>-</t>
        </is>
      </c>
      <c r="F67" s="16" t="inlineStr">
        <is>
          <t>-</t>
        </is>
      </c>
      <c r="G67" s="16" t="inlineStr">
        <is>
          <t>JST</t>
        </is>
      </c>
      <c r="H67" s="17" t="inlineStr">
        <is>
          <t>SSH-003T-P0.2-H</t>
        </is>
      </c>
      <c r="I67" s="17" t="inlineStr">
        <is>
          <t>SH 크림프 단자 AWG 32–28</t>
        </is>
      </c>
      <c r="J67" s="19" t="n">
        <v>0.03</v>
      </c>
      <c r="K67" s="19" t="n">
        <v>0.06</v>
      </c>
      <c r="L67" s="20">
        <f>D67*J67</f>
        <v/>
      </c>
      <c r="M67" s="20">
        <f>D67*K67</f>
        <v/>
      </c>
      <c r="N67" s="16" t="inlineStr">
        <is>
          <t>제안</t>
        </is>
      </c>
    </row>
    <row r="68">
      <c r="A68" s="16" t="n">
        <v>67</v>
      </c>
      <c r="B68" s="16" t="inlineStr">
        <is>
          <t>하네스</t>
        </is>
      </c>
      <c r="C68" s="17" t="inlineStr">
        <is>
          <t>W-1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TBD</t>
        </is>
      </c>
      <c r="H68" s="17" t="inlineStr">
        <is>
          <t>PTFE AWG30 전선</t>
        </is>
      </c>
      <c r="I68" s="17" t="inlineStr">
        <is>
          <t>UL1213 계열 200 °C, 4심 × 60 mm (HTX99R 뒤 핀 납땜 + 수축튜브)</t>
        </is>
      </c>
      <c r="J68" s="19" t="n">
        <v>0.1</v>
      </c>
      <c r="K68" s="19" t="n">
        <v>0.3</v>
      </c>
      <c r="L68" s="20">
        <f>D68*J68</f>
        <v/>
      </c>
      <c r="M68" s="20">
        <f>D68*K68</f>
        <v/>
      </c>
      <c r="N68" s="21" t="inlineStr">
        <is>
          <t>추정</t>
        </is>
      </c>
    </row>
    <row r="69">
      <c r="A69" s="16" t="n">
        <v>68</v>
      </c>
      <c r="B69" s="16" t="inlineStr">
        <is>
          <t>조립</t>
        </is>
      </c>
      <c r="C69" s="17" t="inlineStr">
        <is>
          <t>-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-</t>
        </is>
      </c>
      <c r="H69" s="17" t="inlineStr">
        <is>
          <t>SMT 양면 실장</t>
        </is>
      </c>
      <c r="I69" s="17" t="inlineStr">
        <is>
          <t>1k 기준 조립비</t>
        </is>
      </c>
      <c r="J69" s="19" t="n">
        <v>2</v>
      </c>
      <c r="K69" s="19" t="n">
        <v>4</v>
      </c>
      <c r="L69" s="20">
        <f>D69*J69</f>
        <v/>
      </c>
      <c r="M69" s="20">
        <f>D69*K69</f>
        <v/>
      </c>
      <c r="N69" s="21" t="inlineStr">
        <is>
          <t>추정</t>
        </is>
      </c>
    </row>
    <row r="70">
      <c r="I70" s="3" t="inlineStr">
        <is>
          <t>합계 (1대분)</t>
        </is>
      </c>
      <c r="L70" s="23">
        <f>SUM(L2:L69)</f>
        <v/>
      </c>
      <c r="M70" s="23">
        <f>SUM(M2:M69)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2026-09-30T12:07:23Z</dcterms:created>
  <dcterms:modified xsi:type="dcterms:W3CDTF">2026-09-30T12:07:23Z</dcterms:modified>
</cp:coreProperties>
</file>