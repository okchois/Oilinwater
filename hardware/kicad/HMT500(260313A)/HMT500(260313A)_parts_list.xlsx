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4" headerRowCount="1">
  <autoFilter ref="A1:P74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COUNTIF('부품리스트'!$B$2:$B$74,A7)</f>
        <v/>
      </c>
      <c r="C7" s="9">
        <f>SUMIFS('부품리스트'!$L$2:$L$74,'부품리스트'!$B$2:$B$74,A7)</f>
        <v/>
      </c>
      <c r="D7" s="9">
        <f>SUMIFS('부품리스트'!$M$2:$M$74,'부품리스트'!$B$2:$B$74,A7)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COUNTIF('부품리스트'!$B$2:$B$74,A8)</f>
        <v/>
      </c>
      <c r="C8" s="9">
        <f>SUMIFS('부품리스트'!$L$2:$L$74,'부품리스트'!$B$2:$B$74,A8)</f>
        <v/>
      </c>
      <c r="D8" s="9">
        <f>SUMIFS('부품리스트'!$M$2:$M$74,'부품리스트'!$B$2:$B$74,A8)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COUNTIF('부품리스트'!$B$2:$B$74,A9)</f>
        <v/>
      </c>
      <c r="C9" s="9">
        <f>SUMIFS('부품리스트'!$L$2:$L$74,'부품리스트'!$B$2:$B$74,A9)</f>
        <v/>
      </c>
      <c r="D9" s="9">
        <f>SUMIFS('부품리스트'!$M$2:$M$74,'부품리스트'!$B$2:$B$74,A9)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COUNTIF('부품리스트'!$B$2:$B$74,A10)</f>
        <v/>
      </c>
      <c r="C10" s="9">
        <f>SUMIFS('부품리스트'!$L$2:$L$74,'부품리스트'!$B$2:$B$74,A10)</f>
        <v/>
      </c>
      <c r="D10" s="9">
        <f>SUMIFS('부품리스트'!$M$2:$M$74,'부품리스트'!$B$2:$B$74,A10)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COUNTIF('부품리스트'!$B$2:$B$74,A11)</f>
        <v/>
      </c>
      <c r="C11" s="9">
        <f>SUMIFS('부품리스트'!$L$2:$L$74,'부품리스트'!$B$2:$B$74,A11)</f>
        <v/>
      </c>
      <c r="D11" s="9">
        <f>SUMIFS('부품리스트'!$M$2:$M$74,'부품리스트'!$B$2:$B$74,A11)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COUNTIF('부품리스트'!$B$2:$B$74,A12)</f>
        <v/>
      </c>
      <c r="C12" s="9">
        <f>SUMIFS('부품리스트'!$L$2:$L$74,'부품리스트'!$B$2:$B$74,A12)</f>
        <v/>
      </c>
      <c r="D12" s="9">
        <f>SUMIFS('부품리스트'!$M$2:$M$74,'부품리스트'!$B$2:$B$74,A12)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COUNTIF('부품리스트'!$B$2:$B$74,A13)</f>
        <v/>
      </c>
      <c r="C13" s="9">
        <f>SUMIFS('부품리스트'!$L$2:$L$74,'부품리스트'!$B$2:$B$74,A13)</f>
        <v/>
      </c>
      <c r="D13" s="9">
        <f>SUMIFS('부품리스트'!$M$2:$M$74,'부품리스트'!$B$2:$B$74,A13)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COUNTIF('부품리스트'!$B$2:$B$74,A14)</f>
        <v/>
      </c>
      <c r="C14" s="9">
        <f>SUMIFS('부품리스트'!$L$2:$L$74,'부품리스트'!$B$2:$B$74,A14)</f>
        <v/>
      </c>
      <c r="D14" s="9">
        <f>SUMIFS('부품리스트'!$M$2:$M$74,'부품리스트'!$B$2:$B$74,A14)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COUNTIF('부품리스트'!$B$2:$B$74,A15)</f>
        <v/>
      </c>
      <c r="C15" s="9">
        <f>SUMIFS('부품리스트'!$L$2:$L$74,'부품리스트'!$B$2:$B$74,A15)</f>
        <v/>
      </c>
      <c r="D15" s="9">
        <f>SUMIFS('부품리스트'!$M$2:$M$74,'부품리스트'!$B$2:$B$74,A15)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COUNTIF('부품리스트'!$B$2:$B$74,A16)</f>
        <v/>
      </c>
      <c r="C16" s="9">
        <f>SUMIFS('부품리스트'!$L$2:$L$74,'부품리스트'!$B$2:$B$74,A16)</f>
        <v/>
      </c>
      <c r="D16" s="9">
        <f>SUMIFS('부품리스트'!$M$2:$M$74,'부품리스트'!$B$2:$B$74,A16)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COUNTIF('부품리스트'!$B$2:$B$74,A17)</f>
        <v/>
      </c>
      <c r="C17" s="9">
        <f>SUMIFS('부품리스트'!$L$2:$L$74,'부품리스트'!$B$2:$B$74,A17)</f>
        <v/>
      </c>
      <c r="D17" s="9">
        <f>SUMIFS('부품리스트'!$M$2:$M$74,'부품리스트'!$B$2:$B$74,A17)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COUNTIF('부품리스트'!$B$2:$B$74,A18)</f>
        <v/>
      </c>
      <c r="C18" s="9">
        <f>SUMIFS('부품리스트'!$L$2:$L$74,'부품리스트'!$B$2:$B$74,A18)</f>
        <v/>
      </c>
      <c r="D18" s="9">
        <f>SUMIFS('부품리스트'!$M$2:$M$74,'부품리스트'!$B$2:$B$74,A18)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COUNTIF('부품리스트'!$B$2:$B$74,A19)</f>
        <v/>
      </c>
      <c r="C19" s="9">
        <f>SUMIFS('부품리스트'!$L$2:$L$74,'부품리스트'!$B$2:$B$74,A19)</f>
        <v/>
      </c>
      <c r="D19" s="9">
        <f>SUMIFS('부품리스트'!$M$2:$M$74,'부품리스트'!$B$2:$B$74,A19)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D30 D40 D60 D61</t>
        </is>
      </c>
      <c r="D23" s="18" t="n">
        <v>5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재고 적음 (검색 시 약 88개) — v0.9 수량 5개 (D2, D30, D40, D60, D61)]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출력</t>
        </is>
      </c>
      <c r="C25" s="17" t="inlineStr">
        <is>
          <t>D41 D51</t>
        </is>
      </c>
      <c r="D25" s="18" t="n">
        <v>2</v>
      </c>
      <c r="E25" s="16" t="inlineStr">
        <is>
          <t>BAS70-04</t>
        </is>
      </c>
      <c r="F25" s="16" t="inlineStr">
        <is>
          <t>SOT-23</t>
        </is>
      </c>
      <c r="G25" s="16" t="inlineStr">
        <is>
          <t>Nexperia</t>
        </is>
      </c>
      <c r="H25" s="17" t="inlineStr">
        <is>
          <t>BAS70-04,215</t>
        </is>
      </c>
      <c r="I25" s="17" t="inlineStr">
        <is>
          <t>쇼트키 2개 직렬 70 V SOT-23 — DAC 출력 클램프 (1 A, 2 K, 3 공통)</t>
        </is>
      </c>
      <c r="J25" s="19" t="n">
        <v>0.02</v>
      </c>
      <c r="K25" s="19" t="n">
        <v>0.05</v>
      </c>
      <c r="L25" s="20">
        <f>D25*J25</f>
        <v/>
      </c>
      <c r="M25" s="20">
        <f>D25*K25</f>
        <v/>
      </c>
      <c r="N25" s="16" t="inlineStr">
        <is>
          <t>LCSC</t>
        </is>
      </c>
      <c r="O25" s="16" t="inlineStr">
        <is>
          <t>C389351</t>
        </is>
      </c>
      <c r="P25" s="16" t="inlineStr">
        <is>
          <t>Extended</t>
        </is>
      </c>
    </row>
    <row r="26">
      <c r="A26" s="16" t="n">
        <v>25</v>
      </c>
      <c r="B26" s="16" t="inlineStr">
        <is>
          <t>수동</t>
        </is>
      </c>
      <c r="C26" s="17" t="inlineStr">
        <is>
          <t>FB1</t>
        </is>
      </c>
      <c r="D26" s="18" t="n">
        <v>1</v>
      </c>
      <c r="E26" s="16" t="inlineStr">
        <is>
          <t>600R@100MHz</t>
        </is>
      </c>
      <c r="F26" s="16" t="inlineStr">
        <is>
          <t>L_0603_1608Metric</t>
        </is>
      </c>
      <c r="G26" s="16" t="inlineStr">
        <is>
          <t>Murata</t>
        </is>
      </c>
      <c r="H26" s="17" t="inlineStr">
        <is>
          <t>BLM18KG601SN1D</t>
        </is>
      </c>
      <c r="I26" s="17" t="inlineStr">
        <is>
          <t>페라이트 비드 600 Ω@100 MHz 0603 [LCSC: Basic 비드 C1002는 200 mA라 쓰지 않음]</t>
        </is>
      </c>
      <c r="J26" s="19" t="n">
        <v>0.01</v>
      </c>
      <c r="K26" s="19" t="n">
        <v>0.03</v>
      </c>
      <c r="L26" s="20">
        <f>D26*J26</f>
        <v/>
      </c>
      <c r="M26" s="20">
        <f>D26*K26</f>
        <v/>
      </c>
      <c r="N26" s="16" t="inlineStr">
        <is>
          <t>제안</t>
        </is>
      </c>
      <c r="O26" s="16" t="inlineStr">
        <is>
          <t>C85833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GDT1</t>
        </is>
      </c>
      <c r="D27" s="18" t="n">
        <v>1</v>
      </c>
      <c r="E27" s="16" t="inlineStr">
        <is>
          <t>2035-25-SM</t>
        </is>
      </c>
      <c r="F27" s="16" t="inlineStr">
        <is>
          <t>GDT_Bourns_2035-xx-SM</t>
        </is>
      </c>
      <c r="G27" s="16" t="inlineStr">
        <is>
          <t>Bourns</t>
        </is>
      </c>
      <c r="H27" s="17" t="inlineStr">
        <is>
          <t>2035-25-SM-RPLF</t>
        </is>
      </c>
      <c r="I27" s="17" t="inlineStr">
        <is>
          <t>2전극 SMD GDT 250 V, Ø5 × 4.4 mm (회로 GND–외함. LCSC — 230 V형은 LCSC에 없음)</t>
        </is>
      </c>
      <c r="J27" s="19" t="n">
        <v>0.4</v>
      </c>
      <c r="K27" s="19" t="n">
        <v>1</v>
      </c>
      <c r="L27" s="20">
        <f>D27*J27</f>
        <v/>
      </c>
      <c r="M27" s="20">
        <f>D27*K27</f>
        <v/>
      </c>
      <c r="N27" s="16" t="inlineStr">
        <is>
          <t>LCSC</t>
        </is>
      </c>
      <c r="O27" s="16" t="inlineStr">
        <is>
          <t>C3660127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커넥터</t>
        </is>
      </c>
      <c r="C28" s="17" t="inlineStr">
        <is>
          <t>J1</t>
        </is>
      </c>
      <c r="D28" s="18" t="n">
        <v>1</v>
      </c>
      <c r="E28" s="16" t="inlineStr">
        <is>
          <t>SM08B-GHS-TB</t>
        </is>
      </c>
      <c r="F28" s="16" t="inlineStr">
        <is>
          <t>JST_GH_SM08B-GHS-TB_1x08-1MP_P1.25mm_Horizontal</t>
        </is>
      </c>
      <c r="G28" s="16" t="inlineStr">
        <is>
          <t>JST</t>
        </is>
      </c>
      <c r="H28" s="17" t="inlineStr">
        <is>
          <t>SM08B-GHS-TB(LF)(SN)</t>
        </is>
      </c>
      <c r="I28" s="17" t="inlineStr">
        <is>
          <t>GH 1.25 mm 8핀 헤더, 옆 삽입(직각) SMD (M12 하네스 W-2, 정격 −25~+85 °C)</t>
        </is>
      </c>
      <c r="J28" s="19" t="n">
        <v>0.35</v>
      </c>
      <c r="K28" s="19" t="n">
        <v>0.8</v>
      </c>
      <c r="L28" s="20">
        <f>D28*J28</f>
        <v/>
      </c>
      <c r="M28" s="20">
        <f>D28*K28</f>
        <v/>
      </c>
      <c r="N28" s="16" t="inlineStr">
        <is>
          <t>제안</t>
        </is>
      </c>
      <c r="O28" s="16" t="inlineStr">
        <is>
          <t>C265111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생산</t>
        </is>
      </c>
      <c r="C29" s="17" t="inlineStr">
        <is>
          <t>J2</t>
        </is>
      </c>
      <c r="D29" s="18" t="n">
        <v>1</v>
      </c>
      <c r="E29" s="16" t="inlineStr">
        <is>
          <t>TC2030-IDC-NL</t>
        </is>
      </c>
      <c r="F29" s="16" t="inlineStr">
        <is>
          <t>Tag-Connect_TC2030-IDC-NL_2x03_P1.27mm_Vertical</t>
        </is>
      </c>
      <c r="G29" s="16" t="inlineStr">
        <is>
          <t>Tag-Connect</t>
        </is>
      </c>
      <c r="H29" s="17" t="inlineStr">
        <is>
          <t>(PCB 패드만)</t>
        </is>
      </c>
      <c r="I29" s="17" t="inlineStr">
        <is>
          <t>SWD 기록용 패드 — 부품 실장 없음</t>
        </is>
      </c>
      <c r="J29" s="19" t="n">
        <v>0</v>
      </c>
      <c r="K29" s="19" t="n">
        <v>0</v>
      </c>
      <c r="L29" s="20">
        <f>D29*J29</f>
        <v/>
      </c>
      <c r="M29" s="20">
        <f>D29*K29</f>
        <v/>
      </c>
      <c r="N29" s="16" t="inlineStr">
        <is>
          <t>확정</t>
        </is>
      </c>
      <c r="O29" s="16" t="inlineStr"/>
      <c r="P29" s="16" t="inlineStr"/>
    </row>
    <row r="30">
      <c r="A30" s="16" t="n">
        <v>29</v>
      </c>
      <c r="B30" s="16" t="inlineStr">
        <is>
          <t>커넥터</t>
        </is>
      </c>
      <c r="C30" s="17" t="inlineStr">
        <is>
          <t>J3</t>
        </is>
      </c>
      <c r="D30" s="18" t="n">
        <v>1</v>
      </c>
      <c r="E30" s="16" t="inlineStr">
        <is>
          <t>SM04B-SRSS-TB</t>
        </is>
      </c>
      <c r="F30" s="16" t="inlineStr">
        <is>
          <t>JST_SH_SM04B-SRSS-TB_1x04-1MP_P1.00mm_Horizontal</t>
        </is>
      </c>
      <c r="G30" s="16" t="inlineStr">
        <is>
          <t>JST</t>
        </is>
      </c>
      <c r="H30" s="17" t="inlineStr">
        <is>
          <t>SM04B-SRSS-TB(LF)(SN)</t>
        </is>
      </c>
      <c r="I30" s="17" t="inlineStr">
        <is>
          <t>SH 1.0 mm 4핀 헤더, 옆 삽입(직각) SMD (센서 하네스 W-1, 정격 −25~+85 °C)</t>
        </is>
      </c>
      <c r="J30" s="19" t="n">
        <v>0.3</v>
      </c>
      <c r="K30" s="19" t="n">
        <v>0.6</v>
      </c>
      <c r="L30" s="20">
        <f>D30*J30</f>
        <v/>
      </c>
      <c r="M30" s="20">
        <f>D30*K30</f>
        <v/>
      </c>
      <c r="N30" s="16" t="inlineStr">
        <is>
          <t>제안</t>
        </is>
      </c>
      <c r="O30" s="16" t="inlineStr">
        <is>
          <t>C160404</t>
        </is>
      </c>
      <c r="P30" s="16" t="inlineStr">
        <is>
          <t>Extended</t>
        </is>
      </c>
    </row>
    <row r="31">
      <c r="A31" s="16" t="n">
        <v>30</v>
      </c>
      <c r="B31" s="16" t="inlineStr">
        <is>
          <t>커넥터</t>
        </is>
      </c>
      <c r="C31" s="17" t="inlineStr">
        <is>
          <t>J5</t>
        </is>
      </c>
      <c r="D31" s="18" t="n">
        <v>1</v>
      </c>
      <c r="E31" s="16" t="inlineStr">
        <is>
          <t>CHASSIS wire</t>
        </is>
      </c>
      <c r="F31" s="16" t="inlineStr">
        <is>
          <t>SolderWire_Chassis_D0.6mm</t>
        </is>
      </c>
      <c r="G31" s="16" t="inlineStr">
        <is>
          <t>-</t>
        </is>
      </c>
      <c r="H31" s="17" t="inlineStr">
        <is>
          <t>PCB 납땜 구멍 (부품 없음)</t>
        </is>
      </c>
      <c r="I31" s="17" t="inlineStr">
        <is>
          <t>샤시 선 AWG 28 PTFE 약 25 mm + M2 링 단자 → 홀더 축 나사. 선·단자는 기구 부품표(JLCMC)</t>
        </is>
      </c>
      <c r="J31" s="19" t="n">
        <v>0</v>
      </c>
      <c r="K31" s="19" t="n">
        <v>0</v>
      </c>
      <c r="L31" s="20">
        <f>D31*J31</f>
        <v/>
      </c>
      <c r="M31" s="20">
        <f>D31*K31</f>
        <v/>
      </c>
      <c r="N31" s="16" t="inlineStr">
        <is>
          <t>확정</t>
        </is>
      </c>
      <c r="O31" s="16" t="inlineStr"/>
      <c r="P31" s="16" t="inlineStr"/>
    </row>
    <row r="32">
      <c r="A32" s="16" t="n">
        <v>31</v>
      </c>
      <c r="B32" s="16" t="inlineStr">
        <is>
          <t>보호</t>
        </is>
      </c>
      <c r="C32" s="17" t="inlineStr">
        <is>
          <t>L1</t>
        </is>
      </c>
      <c r="D32" s="18" t="n">
        <v>1</v>
      </c>
      <c r="E32" s="16" t="inlineStr">
        <is>
          <t>CMC 1mH 0.8A</t>
        </is>
      </c>
      <c r="F32" s="16" t="inlineStr">
        <is>
          <t>L_CommonMode_Wuerth_WE-SL2</t>
        </is>
      </c>
      <c r="G32" s="16" t="inlineStr">
        <is>
          <t>Bourns</t>
        </is>
      </c>
      <c r="H32" s="17" t="inlineStr">
        <is>
          <t>SRF0905-102Y</t>
        </is>
      </c>
      <c r="I32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32" s="19" t="n">
        <v>0.5</v>
      </c>
      <c r="K32" s="19" t="n">
        <v>1.2</v>
      </c>
      <c r="L32" s="20">
        <f>D32*J32</f>
        <v/>
      </c>
      <c r="M32" s="20">
        <f>D32*K32</f>
        <v/>
      </c>
      <c r="N32" s="21" t="inlineStr">
        <is>
          <t>확인 필요</t>
        </is>
      </c>
      <c r="O32" s="16" t="inlineStr">
        <is>
          <t>C2651138</t>
        </is>
      </c>
      <c r="P32" s="16" t="inlineStr">
        <is>
          <t>Extended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L2</t>
        </is>
      </c>
      <c r="D33" s="18" t="n">
        <v>1</v>
      </c>
      <c r="E33" s="16" t="inlineStr">
        <is>
          <t>10uH</t>
        </is>
      </c>
      <c r="F33" s="16" t="inlineStr">
        <is>
          <t>L_Taiyo-Yuden_NR-40xx</t>
        </is>
      </c>
      <c r="G33" s="16" t="inlineStr">
        <is>
          <t>SXN</t>
        </is>
      </c>
      <c r="H33" s="17" t="inlineStr">
        <is>
          <t>SMNR4020-10UH</t>
        </is>
      </c>
      <c r="I33" s="17" t="inlineStr">
        <is>
          <t>파워 인덕터 10 µH ±20 % 0.62 A 0.95 Ω 4 × 4 × 2 mm (NR-40xx 랜드) — 5 V 벅 (부하 약 60 mA) [LCSC: 랜드 패턴을 NR-40xx와 대조 필요]</t>
        </is>
      </c>
      <c r="J33" s="19" t="n">
        <v>0.05</v>
      </c>
      <c r="K33" s="19" t="n">
        <v>0.12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C135263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출력</t>
        </is>
      </c>
      <c r="C34" s="17" t="inlineStr">
        <is>
          <t>L3</t>
        </is>
      </c>
      <c r="D34" s="18" t="n">
        <v>1</v>
      </c>
      <c r="E34" s="16" t="inlineStr">
        <is>
          <t>22uH</t>
        </is>
      </c>
      <c r="F34" s="16" t="inlineStr">
        <is>
          <t>L_Taiyo-Yuden_NR-40xx</t>
        </is>
      </c>
      <c r="G34" s="16" t="inlineStr">
        <is>
          <t>(LCSC)</t>
        </is>
      </c>
      <c r="H34" s="17" t="inlineStr">
        <is>
          <t>SMNR4020-22UH</t>
        </is>
      </c>
      <c r="I34" s="17" t="inlineStr">
        <is>
          <t>파워 인덕터 22 µH ±20 % 1.05 A 455 mΩ 4 × 4 × 2 mm (NR-40xx 랜드) — VAO 벅 [LCSC: 랜드 패턴을 NR-40xx와 대조 필요]</t>
        </is>
      </c>
      <c r="J34" s="19" t="n">
        <v>0.05</v>
      </c>
      <c r="K34" s="19" t="n">
        <v>0.15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C135264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보호</t>
        </is>
      </c>
      <c r="C35" s="17" t="inlineStr">
        <is>
          <t>R1</t>
        </is>
      </c>
      <c r="D35" s="18" t="n">
        <v>1</v>
      </c>
      <c r="E35" s="16" t="inlineStr">
        <is>
          <t>4.7R 1W pulse</t>
        </is>
      </c>
      <c r="F35" s="16" t="inlineStr">
        <is>
          <t>R_2512_6332Metric</t>
        </is>
      </c>
      <c r="G35" s="16" t="inlineStr">
        <is>
          <t>Vishay</t>
        </is>
      </c>
      <c r="H35" s="17" t="inlineStr">
        <is>
          <t>CRCW25124R70FKEG</t>
        </is>
      </c>
      <c r="I35" s="17" t="inlineStr">
        <is>
          <t>CRCW 2512 4.7 Ω 1% 1 W (결정 #38: JLC 부품 — 펄스 내성 HP형 대신 일반형, 서지 시험 T1로 확인) [LCSC: 결정 #38: 일반형 (HP 대신)]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16" t="inlineStr">
        <is>
          <t>LCSC</t>
        </is>
      </c>
      <c r="O35" s="16" t="inlineStr">
        <is>
          <t>C242563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R2</t>
        </is>
      </c>
      <c r="D36" s="18" t="n">
        <v>1</v>
      </c>
      <c r="E36" s="16" t="inlineStr">
        <is>
          <t>1M HV</t>
        </is>
      </c>
      <c r="F36" s="16" t="inlineStr">
        <is>
          <t>R_1206_3216Metric</t>
        </is>
      </c>
      <c r="G36" s="16" t="inlineStr">
        <is>
          <t>ROHM</t>
        </is>
      </c>
      <c r="H36" s="17" t="inlineStr">
        <is>
          <t>KTR18EZPF1004</t>
        </is>
      </c>
      <c r="I36" s="17" t="inlineStr">
        <is>
          <t>서지용 칩 저항 1 MΩ 1% 1206, 최고 사용 전압 500 V (GDT 방전 전 임펄스. LCSC — 1 kV 1206은 LCSC에 없음) [LCSC: 500 V (1 kV 1206은 LCSC에 없음)]</t>
        </is>
      </c>
      <c r="J36" s="19" t="n">
        <v>0.02</v>
      </c>
      <c r="K36" s="19" t="n">
        <v>0.06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C253347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R3</t>
        </is>
      </c>
      <c r="D37" s="18" t="n">
        <v>1</v>
      </c>
      <c r="E37" s="16" t="inlineStr">
        <is>
          <t>866k 1%</t>
        </is>
      </c>
      <c r="F37" s="16" t="inlineStr">
        <is>
          <t>R_0603_1608Metric</t>
        </is>
      </c>
      <c r="G37" s="16" t="inlineStr">
        <is>
          <t>Vishay</t>
        </is>
      </c>
      <c r="H37" s="17" t="inlineStr">
        <is>
          <t>RCS0603866KFKEA</t>
        </is>
      </c>
      <c r="I37" s="17" t="inlineStr">
        <is>
          <t>저항 866 kΩ 1% 0603 (UVLO)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  <c r="O37" s="16" t="inlineStr">
        <is>
          <t>C3954581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R4</t>
        </is>
      </c>
      <c r="D38" s="18" t="n">
        <v>1</v>
      </c>
      <c r="E38" s="16" t="inlineStr">
        <is>
          <t>97.6k 1%</t>
        </is>
      </c>
      <c r="F38" s="16" t="inlineStr">
        <is>
          <t>R_0603_1608Metric</t>
        </is>
      </c>
      <c r="G38" s="16" t="inlineStr">
        <is>
          <t>Panasonic</t>
        </is>
      </c>
      <c r="H38" s="17" t="inlineStr">
        <is>
          <t>ERA-3AEB9762V</t>
        </is>
      </c>
      <c r="I38" s="17" t="inlineStr">
        <is>
          <t>저항 97.6 kΩ 1% 0603 (UVLO/OVP) [LCSC: 0.1 % 25 ppm (1 %형 LCSC에 없음, 더 좋음)]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C2074558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R5</t>
        </is>
      </c>
      <c r="D39" s="18" t="n">
        <v>1</v>
      </c>
      <c r="E39" s="16" t="inlineStr">
        <is>
          <t>36.5k 1%</t>
        </is>
      </c>
      <c r="F39" s="16" t="inlineStr">
        <is>
          <t>R_0603_1608Metric</t>
        </is>
      </c>
      <c r="G39" s="16" t="inlineStr">
        <is>
          <t>CAL-CHIP</t>
        </is>
      </c>
      <c r="H39" s="17" t="inlineStr">
        <is>
          <t>RM06F3652CT</t>
        </is>
      </c>
      <c r="I39" s="17" t="inlineStr">
        <is>
          <t>저항 36.5 kΩ 1% 0603 (OVP 32.6 V, 복귀 30.1 V — v0.9)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C4027587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R6</t>
        </is>
      </c>
      <c r="D40" s="18" t="n">
        <v>1</v>
      </c>
      <c r="E40" s="16" t="inlineStr">
        <is>
          <t>80.6k 1%</t>
        </is>
      </c>
      <c r="F40" s="16" t="inlineStr">
        <is>
          <t>R_0603_1608Metric</t>
        </is>
      </c>
      <c r="G40" s="16" t="inlineStr">
        <is>
          <t>UNI-ROYAL</t>
        </is>
      </c>
      <c r="H40" s="17" t="inlineStr">
        <is>
          <t>0603WAF8062T5E</t>
        </is>
      </c>
      <c r="I40" s="17" t="inlineStr">
        <is>
          <t>저항 80.6 kΩ 1% 0603 (TPS2660 전류제한 149 mA = 12/R)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C23249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R8</t>
        </is>
      </c>
      <c r="D41" s="18" t="n">
        <v>1</v>
      </c>
      <c r="E41" s="16" t="inlineStr">
        <is>
          <t>118k 1%</t>
        </is>
      </c>
      <c r="F41" s="16" t="inlineStr">
        <is>
          <t>R_0402_1005Metric</t>
        </is>
      </c>
      <c r="G41" s="16" t="inlineStr">
        <is>
          <t>YAGEO</t>
        </is>
      </c>
      <c r="H41" s="17" t="inlineStr">
        <is>
          <t>AC0402FR-07118KL</t>
        </is>
      </c>
      <c r="I41" s="17" t="inlineStr">
        <is>
          <t>저항 118 kΩ 1% 0402 (5 V 벅 FB 상단)</t>
        </is>
      </c>
      <c r="J41" s="19" t="n">
        <v>0.001</v>
      </c>
      <c r="K41" s="19" t="n">
        <v>0.003</v>
      </c>
      <c r="L41" s="20">
        <f>D41*J41</f>
        <v/>
      </c>
      <c r="M41" s="20">
        <f>D41*K41</f>
        <v/>
      </c>
      <c r="N41" s="16" t="inlineStr">
        <is>
          <t>LCSC</t>
        </is>
      </c>
      <c r="O41" s="16" t="inlineStr">
        <is>
          <t>C144804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출력</t>
        </is>
      </c>
      <c r="C42" s="17" t="inlineStr">
        <is>
          <t>R9 R52</t>
        </is>
      </c>
      <c r="D42" s="18" t="n">
        <v>2</v>
      </c>
      <c r="E42" s="16" t="inlineStr">
        <is>
          <t>22.1k 1%</t>
        </is>
      </c>
      <c r="F42" s="16" t="inlineStr">
        <is>
          <t>R_0402_1005Metric</t>
        </is>
      </c>
      <c r="G42" s="16" t="inlineStr">
        <is>
          <t>UNI-ROYAL</t>
        </is>
      </c>
      <c r="H42" s="17" t="inlineStr">
        <is>
          <t>0402WGF2212TCE</t>
        </is>
      </c>
      <c r="I42" s="17" t="inlineStr">
        <is>
          <t>저항 22.1 kΩ 1% 0402 (VAO 분압 하단) [LCSC: LCSC 번호 미확인 — JLC 화면에서 22.1 kΩ 1 % 0402 선택]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21" t="inlineStr">
        <is>
          <t>확인 필요</t>
        </is>
      </c>
      <c r="O42" s="16" t="inlineStr"/>
      <c r="P42" s="16" t="inlineStr">
        <is>
          <t>Extended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R10 R11 R33 R60</t>
        </is>
      </c>
      <c r="D43" s="18" t="n">
        <v>4</v>
      </c>
      <c r="E43" s="16" t="inlineStr">
        <is>
          <t>10k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0402WGF1002TCE</t>
        </is>
      </c>
      <c r="I43" s="17" t="inlineStr">
        <is>
          <t>저항 10 kΩ 1% 0402 (50 V)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16" t="inlineStr">
        <is>
          <t>LCSC</t>
        </is>
      </c>
      <c r="O43" s="16" t="inlineStr">
        <is>
          <t>C25744</t>
        </is>
      </c>
      <c r="P43" s="16" t="inlineStr">
        <is>
          <t>Basic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R12 R13 R31 R41</t>
        </is>
      </c>
      <c r="D44" s="18" t="n">
        <v>4</v>
      </c>
      <c r="E44" s="16" t="inlineStr">
        <is>
          <t>100k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0402WGF1003TCE</t>
        </is>
      </c>
      <c r="I44" s="17" t="inlineStr">
        <is>
          <t>저항 100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C25741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R14</t>
        </is>
      </c>
      <c r="D45" s="18" t="n">
        <v>1</v>
      </c>
      <c r="E45" s="16" t="inlineStr">
        <is>
          <t>100k 1%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(벅 FB, 전원 감시)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수동</t>
        </is>
      </c>
      <c r="C46" s="17" t="inlineStr">
        <is>
          <t>R15</t>
        </is>
      </c>
      <c r="D46" s="18" t="n">
        <v>1</v>
      </c>
      <c r="E46" s="16" t="inlineStr">
        <is>
          <t>10k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0402WGF1002TCE</t>
        </is>
      </c>
      <c r="I46" s="17" t="inlineStr">
        <is>
          <t>저항 10 kΩ 1% 0402 (전원 감시 분압)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C25744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R17 R18 R20</t>
        </is>
      </c>
      <c r="D47" s="18" t="n">
        <v>3</v>
      </c>
      <c r="E47" s="16" t="inlineStr">
        <is>
          <t>1k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0402WGF1001TCE</t>
        </is>
      </c>
      <c r="I47" s="17" t="inlineStr">
        <is>
          <t>저항 1 kΩ 1% 0402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C11702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R19</t>
        </is>
      </c>
      <c r="D48" s="18" t="n">
        <v>1</v>
      </c>
      <c r="E48" s="16" t="inlineStr">
        <is>
          <t>4.02k 0.02% 5ppm</t>
        </is>
      </c>
      <c r="F48" s="16" t="inlineStr">
        <is>
          <t>R_0603_1608Metric</t>
        </is>
      </c>
      <c r="G48" s="16" t="inlineStr">
        <is>
          <t>Panasonic</t>
        </is>
      </c>
      <c r="H48" s="17" t="inlineStr">
        <is>
          <t>ERA-3AEB4021V</t>
        </is>
      </c>
      <c r="I48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8" s="19" t="n">
        <v>0.1</v>
      </c>
      <c r="K48" s="19" t="n">
        <v>0.3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C491130</t>
        </is>
      </c>
      <c r="P48" s="16" t="inlineStr">
        <is>
          <t>Extended</t>
        </is>
      </c>
    </row>
    <row r="49">
      <c r="A49" s="16" t="n">
        <v>48</v>
      </c>
      <c r="B49" s="16" t="inlineStr">
        <is>
          <t>보호</t>
        </is>
      </c>
      <c r="C49" s="17" t="inlineStr">
        <is>
          <t>R30 R40</t>
        </is>
      </c>
      <c r="D49" s="18" t="n">
        <v>2</v>
      </c>
      <c r="E49" s="16" t="inlineStr">
        <is>
          <t>10R pulse</t>
        </is>
      </c>
      <c r="F49" s="16" t="inlineStr">
        <is>
          <t>R_2512_6332Metric</t>
        </is>
      </c>
      <c r="G49" s="16" t="inlineStr">
        <is>
          <t>Vishay</t>
        </is>
      </c>
      <c r="H49" s="17" t="inlineStr">
        <is>
          <t>CRCW251210R0FKEG</t>
        </is>
      </c>
      <c r="I49" s="17" t="inlineStr">
        <is>
          <t>CRCW 2512 10 Ω 1% 1 W (결정 #38: JLC 부품 — 일반형, 서지 시험 T3로 확인) [LCSC: 결정 #38: 일반형 (HP 대신)]</t>
        </is>
      </c>
      <c r="J49" s="19" t="n">
        <v>0.03</v>
      </c>
      <c r="K49" s="19" t="n">
        <v>0.1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C844885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R32 R42</t>
        </is>
      </c>
      <c r="D50" s="18" t="n">
        <v>2</v>
      </c>
      <c r="E50" s="16" t="inlineStr">
        <is>
          <t>15k 0.1% 25ppm</t>
        </is>
      </c>
      <c r="F50" s="16" t="inlineStr">
        <is>
          <t>R_0603_1608Metric</t>
        </is>
      </c>
      <c r="G50" s="16" t="inlineStr">
        <is>
          <t>Panasonic</t>
        </is>
      </c>
      <c r="H50" s="17" t="inlineStr">
        <is>
          <t>ERA-3AEB153V</t>
        </is>
      </c>
      <c r="I50" s="17" t="inlineStr">
        <is>
          <t>저항 15 kΩ 0.1% 25 ppm/K 0603 (DAC8760 외부 ISET-R)</t>
        </is>
      </c>
      <c r="J50" s="19" t="n">
        <v>0.02</v>
      </c>
      <c r="K50" s="19" t="n">
        <v>0.06</v>
      </c>
      <c r="L50" s="20">
        <f>D50*J50</f>
        <v/>
      </c>
      <c r="M50" s="20">
        <f>D50*K50</f>
        <v/>
      </c>
      <c r="N50" s="16" t="inlineStr">
        <is>
          <t>제안</t>
        </is>
      </c>
      <c r="O50" s="16" t="inlineStr">
        <is>
          <t>C473244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R34 R44</t>
        </is>
      </c>
      <c r="D51" s="18" t="n">
        <v>2</v>
      </c>
      <c r="E51" s="16" t="inlineStr">
        <is>
          <t>10R</t>
        </is>
      </c>
      <c r="F51" s="16" t="inlineStr">
        <is>
          <t>R_0402_1005Metric</t>
        </is>
      </c>
      <c r="G51" s="16" t="inlineStr">
        <is>
          <t>UNI-ROYAL</t>
        </is>
      </c>
      <c r="H51" s="17" t="inlineStr">
        <is>
          <t>0402WGF100JTCE</t>
        </is>
      </c>
      <c r="I51" s="17" t="inlineStr">
        <is>
          <t>저항 10 Ω 1% 0402 (DAC8760 AVDD 직렬, 약 8 mW)</t>
        </is>
      </c>
      <c r="J51" s="19" t="n">
        <v>0.001</v>
      </c>
      <c r="K51" s="19" t="n">
        <v>0.003</v>
      </c>
      <c r="L51" s="20">
        <f>D51*J51</f>
        <v/>
      </c>
      <c r="M51" s="20">
        <f>D51*K51</f>
        <v/>
      </c>
      <c r="N51" s="16" t="inlineStr">
        <is>
          <t>LCSC</t>
        </is>
      </c>
      <c r="O51" s="16" t="inlineStr">
        <is>
          <t>C25077</t>
        </is>
      </c>
      <c r="P51" s="16" t="inlineStr">
        <is>
          <t>Basic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R51</t>
        </is>
      </c>
      <c r="D52" s="18" t="n">
        <v>1</v>
      </c>
      <c r="E52" s="16" t="inlineStr">
        <is>
          <t>422k 1%</t>
        </is>
      </c>
      <c r="F52" s="16" t="inlineStr">
        <is>
          <t>R_0402_1005Metric</t>
        </is>
      </c>
      <c r="G52" s="16" t="inlineStr">
        <is>
          <t>YAGEO</t>
        </is>
      </c>
      <c r="H52" s="17" t="inlineStr">
        <is>
          <t>RC0402FR-07422KL</t>
        </is>
      </c>
      <c r="I52" s="17" t="inlineStr">
        <is>
          <t>저항 422 kΩ 1% 0402 (VAO 분압 상단)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C477738</t>
        </is>
      </c>
      <c r="P52" s="16" t="inlineStr">
        <is>
          <t>Extended</t>
        </is>
      </c>
    </row>
    <row r="53">
      <c r="A53" s="16" t="n">
        <v>52</v>
      </c>
      <c r="B53" s="16" t="inlineStr">
        <is>
          <t>전원</t>
        </is>
      </c>
      <c r="C53" s="17" t="inlineStr">
        <is>
          <t>U1</t>
        </is>
      </c>
      <c r="D53" s="18" t="n">
        <v>1</v>
      </c>
      <c r="E53" s="16" t="inlineStr">
        <is>
          <t>TPS26600PWPR</t>
        </is>
      </c>
      <c r="F53" s="16" t="inlineStr">
        <is>
          <t>HTSSOP-16-1EP_4.4x5mm_P0.65mm_EP3.4x5mm_Mask2.46x2.31mm_ThermalVias</t>
        </is>
      </c>
      <c r="G53" s="16" t="inlineStr">
        <is>
          <t>TI</t>
        </is>
      </c>
      <c r="H53" s="17" t="inlineStr">
        <is>
          <t>TPS26600PWPR</t>
        </is>
      </c>
      <c r="I53" s="17" t="inlineStr">
        <is>
          <t>eFuse 60 V 2 A, 역극성·OVP·UVLO, HTSSOP-16</t>
        </is>
      </c>
      <c r="J53" s="19" t="n">
        <v>1.5</v>
      </c>
      <c r="K53" s="19" t="n">
        <v>3</v>
      </c>
      <c r="L53" s="20">
        <f>D53*J53</f>
        <v/>
      </c>
      <c r="M53" s="20">
        <f>D53*K53</f>
        <v/>
      </c>
      <c r="N53" s="16" t="inlineStr">
        <is>
          <t>확정</t>
        </is>
      </c>
      <c r="O53" s="16" t="inlineStr">
        <is>
          <t>C544399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U2 U15</t>
        </is>
      </c>
      <c r="D54" s="18" t="n">
        <v>2</v>
      </c>
      <c r="E54" s="16" t="inlineStr">
        <is>
          <t>LMR51606YFDBVR</t>
        </is>
      </c>
      <c r="F54" s="16" t="inlineStr">
        <is>
          <t>SOT-23-6</t>
        </is>
      </c>
      <c r="G54" s="16" t="inlineStr">
        <is>
          <t>TI</t>
        </is>
      </c>
      <c r="H54" s="17" t="inlineStr">
        <is>
          <t>LMR51606YFDBVR</t>
        </is>
      </c>
      <c r="I54" s="17" t="inlineStr">
        <is>
          <t>벅 4–65 V 0.6 A 1.1 MHz FPWM SOT-23-6 — U2 5 V (결정 #38), U15 VAO 16.1 V (결정 #37)</t>
        </is>
      </c>
      <c r="J54" s="19" t="n">
        <v>0.6</v>
      </c>
      <c r="K54" s="19" t="n">
        <v>1.2</v>
      </c>
      <c r="L54" s="20">
        <f>D54*J54</f>
        <v/>
      </c>
      <c r="M54" s="20">
        <f>D54*K54</f>
        <v/>
      </c>
      <c r="N54" s="16" t="inlineStr">
        <is>
          <t>LCSC</t>
        </is>
      </c>
      <c r="O54" s="16" t="inlineStr">
        <is>
          <t>C22439294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U3</t>
        </is>
      </c>
      <c r="D55" s="18" t="n">
        <v>1</v>
      </c>
      <c r="E55" s="16" t="inlineStr">
        <is>
          <t>TPS7A2033PDBVR</t>
        </is>
      </c>
      <c r="F55" s="16" t="inlineStr">
        <is>
          <t>SOT-23-5</t>
        </is>
      </c>
      <c r="G55" s="16" t="inlineStr">
        <is>
          <t>TI</t>
        </is>
      </c>
      <c r="H55" s="17" t="inlineStr">
        <is>
          <t>TPS7A2033PDBVR</t>
        </is>
      </c>
      <c r="I55" s="17" t="inlineStr">
        <is>
          <t>LDO 3.3 V 300 mA 저잡음 SOT-23-5 [LCSC: TECHPUBLIC 복제품 C49452001 아님]</t>
        </is>
      </c>
      <c r="J55" s="19" t="n">
        <v>0.07000000000000001</v>
      </c>
      <c r="K55" s="19" t="n">
        <v>0.3</v>
      </c>
      <c r="L55" s="20">
        <f>D55*J55</f>
        <v/>
      </c>
      <c r="M55" s="20">
        <f>D55*K55</f>
        <v/>
      </c>
      <c r="N55" s="16" t="inlineStr">
        <is>
          <t>확정</t>
        </is>
      </c>
      <c r="O55" s="16" t="inlineStr">
        <is>
          <t>C2862740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MCU</t>
        </is>
      </c>
      <c r="C56" s="17" t="inlineStr">
        <is>
          <t>U4</t>
        </is>
      </c>
      <c r="D56" s="18" t="n">
        <v>1</v>
      </c>
      <c r="E56" s="16" t="inlineStr">
        <is>
          <t>STM32G0B1CCT6</t>
        </is>
      </c>
      <c r="F56" s="16" t="inlineStr">
        <is>
          <t>LQFP-48_7x7mm_P0.5mm</t>
        </is>
      </c>
      <c r="G56" s="16" t="inlineStr">
        <is>
          <t>ST</t>
        </is>
      </c>
      <c r="H56" s="17" t="inlineStr">
        <is>
          <t>STM32G0B1CCT6</t>
        </is>
      </c>
      <c r="I56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6" s="19" t="n">
        <v>1.5</v>
      </c>
      <c r="K56" s="19" t="n">
        <v>2.5</v>
      </c>
      <c r="L56" s="20">
        <f>D56*J56</f>
        <v/>
      </c>
      <c r="M56" s="20">
        <f>D56*K56</f>
        <v/>
      </c>
      <c r="N56" s="16" t="inlineStr">
        <is>
          <t>LCSC</t>
        </is>
      </c>
      <c r="O56" s="16" t="inlineStr">
        <is>
          <t>C5270241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측정</t>
        </is>
      </c>
      <c r="C57" s="17" t="inlineStr">
        <is>
          <t>U5</t>
        </is>
      </c>
      <c r="D57" s="18" t="n">
        <v>1</v>
      </c>
      <c r="E57" s="16" t="inlineStr">
        <is>
          <t>PCAP04-AQFM-24</t>
        </is>
      </c>
      <c r="F57" s="16" t="inlineStr">
        <is>
          <t>QFN-24-1EP_4x4mm_P0.5mm_EP2.6x2.6mm</t>
        </is>
      </c>
      <c r="G57" s="16" t="inlineStr">
        <is>
          <t>ScioSense</t>
        </is>
      </c>
      <c r="H57" s="17" t="inlineStr">
        <is>
          <t>PCAP04-AQFM-24</t>
        </is>
      </c>
      <c r="I57" s="17" t="inlineStr">
        <is>
          <t>정전용량-디지털 변환기 QFN24</t>
        </is>
      </c>
      <c r="J57" s="19" t="n">
        <v>6.5</v>
      </c>
      <c r="K57" s="19" t="n">
        <v>7.1</v>
      </c>
      <c r="L57" s="20">
        <f>D57*J57</f>
        <v/>
      </c>
      <c r="M57" s="20">
        <f>D57*K57</f>
        <v/>
      </c>
      <c r="N57" s="16" t="inlineStr">
        <is>
          <t>확정</t>
        </is>
      </c>
      <c r="O57" s="16" t="inlineStr">
        <is>
          <t>C2829318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U6</t>
        </is>
      </c>
      <c r="D58" s="18" t="n">
        <v>1</v>
      </c>
      <c r="E58" s="16" t="inlineStr">
        <is>
          <t>ADS1220IPWR</t>
        </is>
      </c>
      <c r="F58" s="16" t="inlineStr">
        <is>
          <t>TSSOP-16_4.4x5mm_P0.65mm</t>
        </is>
      </c>
      <c r="G58" s="16" t="inlineStr">
        <is>
          <t>TI</t>
        </is>
      </c>
      <c r="H58" s="17" t="inlineStr">
        <is>
          <t>ADS1220IPWR</t>
        </is>
      </c>
      <c r="I58" s="17" t="inlineStr">
        <is>
          <t>24-bit ADC, Pt1000 2선 (J3 패드에서 켈빈 분기), TSSOP-16</t>
        </is>
      </c>
      <c r="J58" s="19" t="n">
        <v>1.9</v>
      </c>
      <c r="K58" s="19" t="n">
        <v>3.5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C48263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출력</t>
        </is>
      </c>
      <c r="C59" s="17" t="inlineStr">
        <is>
          <t>U7 U8</t>
        </is>
      </c>
      <c r="D59" s="18" t="n">
        <v>2</v>
      </c>
      <c r="E59" s="16" t="inlineStr">
        <is>
          <t>DAC8760IPWP</t>
        </is>
      </c>
      <c r="F59" s="16" t="inlineStr">
        <is>
          <t>HTSSOP-24-1EP_4.4x7.8mm_P0.65mm_EP3.2x5mm</t>
        </is>
      </c>
      <c r="G59" s="16" t="inlineStr">
        <is>
          <t>TI</t>
        </is>
      </c>
      <c r="H59" s="17" t="inlineStr">
        <is>
          <t>DAC8760IPWPR</t>
        </is>
      </c>
      <c r="I59" s="17" t="inlineStr">
        <is>
          <t>16-bit 전압/전류 출력 DAC, HTSSOP-24. 사양 확정 후 같은 핀 대체: DAC7760(12-bit V/I), DAC8750(16-bit 전류), DAC7750(12-bit 전류)</t>
        </is>
      </c>
      <c r="J59" s="19" t="n">
        <v>7.8</v>
      </c>
      <c r="K59" s="19" t="n">
        <v>12.4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C55047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U9 U10</t>
        </is>
      </c>
      <c r="D60" s="18" t="n">
        <v>2</v>
      </c>
      <c r="E60" s="16" t="inlineStr">
        <is>
          <t>TPS26611DDFR</t>
        </is>
      </c>
      <c r="F60" s="16" t="inlineStr">
        <is>
          <t>SOT-23-8</t>
        </is>
      </c>
      <c r="G60" s="16" t="inlineStr">
        <is>
          <t>TI</t>
        </is>
      </c>
      <c r="H60" s="17" t="inlineStr">
        <is>
          <t>TPS26611DDFR</t>
        </is>
      </c>
      <c r="I60" s="17" t="inlineStr">
        <is>
          <t>±50 V 아날로그 출력 오결선 보호, 32 mA 제한, SOT-23-8</t>
        </is>
      </c>
      <c r="J60" s="19" t="n">
        <v>1.2</v>
      </c>
      <c r="K60" s="19" t="n">
        <v>2.5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C3148140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통신</t>
        </is>
      </c>
      <c r="C61" s="17" t="inlineStr">
        <is>
          <t>U11</t>
        </is>
      </c>
      <c r="D61" s="18" t="n">
        <v>1</v>
      </c>
      <c r="E61" s="16" t="inlineStr">
        <is>
          <t>THVD2410DGKR</t>
        </is>
      </c>
      <c r="F61" s="16" t="inlineStr">
        <is>
          <t>VSSOP-8_3.0x3.0mm_P0.65mm</t>
        </is>
      </c>
      <c r="G61" s="16" t="inlineStr">
        <is>
          <t>TI</t>
        </is>
      </c>
      <c r="H61" s="17" t="inlineStr">
        <is>
          <t>THVD2410DGKR</t>
        </is>
      </c>
      <c r="I61" s="17" t="inlineStr">
        <is>
          <t>RS-485 트랜시버 500 kbps (느린 에지), 버스 ±70 V 내성, VSSOP-8 (SOIC와 같은 핀, 외부 검수 H02 TVS 자리 확보) — THVD2450과 같은 핀 (v0.9)</t>
        </is>
      </c>
      <c r="J61" s="19" t="n">
        <v>1.5</v>
      </c>
      <c r="K61" s="19" t="n">
        <v>3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C1858306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출력</t>
        </is>
      </c>
      <c r="C62" s="17" t="inlineStr">
        <is>
          <t>U12 U13</t>
        </is>
      </c>
      <c r="D62" s="18" t="n">
        <v>2</v>
      </c>
      <c r="E62" s="16" t="inlineStr">
        <is>
          <t>OPA197IDBVR</t>
        </is>
      </c>
      <c r="F62" s="16" t="inlineStr">
        <is>
          <t>SOT-23-5</t>
        </is>
      </c>
      <c r="G62" s="16" t="inlineStr">
        <is>
          <t>TI</t>
        </is>
      </c>
      <c r="H62" s="17" t="inlineStr">
        <is>
          <t>OPA197IDBVR</t>
        </is>
      </c>
      <c r="I62" s="17" t="inlineStr">
        <is>
          <t>36 V 레일투레일 연산증폭기 SOT-23-5 — DAC8760 +VSENSE 버퍼 (이득 1)</t>
        </is>
      </c>
      <c r="J62" s="19" t="n">
        <v>0.6</v>
      </c>
      <c r="K62" s="19" t="n">
        <v>1.1</v>
      </c>
      <c r="L62" s="20">
        <f>D62*J62</f>
        <v/>
      </c>
      <c r="M62" s="20">
        <f>D62*K62</f>
        <v/>
      </c>
      <c r="N62" s="16" t="inlineStr">
        <is>
          <t>제안</t>
        </is>
      </c>
      <c r="O62" s="16" t="inlineStr">
        <is>
          <t>C221351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U14</t>
        </is>
      </c>
      <c r="D63" s="18" t="n">
        <v>1</v>
      </c>
      <c r="E63" s="16" t="inlineStr">
        <is>
          <t>SN74LVC2G32DCUR</t>
        </is>
      </c>
      <c r="F63" s="16" t="inlineStr">
        <is>
          <t>VSSOP-8_2.3x2mm_P0.5mm</t>
        </is>
      </c>
      <c r="G63" s="16" t="inlineStr">
        <is>
          <t>TI</t>
        </is>
      </c>
      <c r="H63" s="17" t="inlineStr">
        <is>
          <t>SN74LVC2G32DCUR</t>
        </is>
      </c>
      <c r="I63" s="17" t="inlineStr">
        <is>
          <t>OR 게이트 2회로 VSSOP-8 — DAC별 SCLK 게이트 (DAC8760 8.5.1.5)</t>
        </is>
      </c>
      <c r="J63" s="19" t="n">
        <v>0.08</v>
      </c>
      <c r="K63" s="19" t="n">
        <v>0.2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C91874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기판</t>
        </is>
      </c>
      <c r="C64" s="17" t="inlineStr">
        <is>
          <t>PCB</t>
        </is>
      </c>
      <c r="D64" s="18" t="n">
        <v>1</v>
      </c>
      <c r="E64" s="16" t="inlineStr">
        <is>
          <t>-</t>
        </is>
      </c>
      <c r="F64" s="16" t="inlineStr">
        <is>
          <t>-</t>
        </is>
      </c>
      <c r="G64" s="16" t="inlineStr">
        <is>
          <t>-</t>
        </is>
      </c>
      <c r="H64" s="17" t="inlineStr">
        <is>
          <t>HMT500(260313A) (E-301)</t>
        </is>
      </c>
      <c r="I64" s="17" t="inlineStr">
        <is>
          <t>PCB 4층 57×23 mm, FR-4 1.6 t, ENIG (기구 Rev C 외곽)</t>
        </is>
      </c>
      <c r="J64" s="19" t="n">
        <v>0.8</v>
      </c>
      <c r="K64" s="19" t="n">
        <v>2</v>
      </c>
      <c r="L64" s="20">
        <f>D64*J64</f>
        <v/>
      </c>
      <c r="M64" s="20">
        <f>D64*K64</f>
        <v/>
      </c>
      <c r="N64" s="21" t="inlineStr">
        <is>
          <t>추정</t>
        </is>
      </c>
      <c r="O64" s="16" t="inlineStr"/>
      <c r="P64" s="16" t="inlineStr"/>
    </row>
    <row r="65">
      <c r="A65" s="16" t="n">
        <v>64</v>
      </c>
      <c r="B65" s="16" t="inlineStr">
        <is>
          <t>센서</t>
        </is>
      </c>
      <c r="C65" s="17" t="inlineStr">
        <is>
          <t>센서 헤드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IST</t>
        </is>
      </c>
      <c r="H65" s="17" t="inlineStr">
        <is>
          <t>MK33-W (300 pF, 품번 확인 필요)</t>
        </is>
      </c>
      <c r="I65" s="17" t="inlineStr">
        <is>
          <t>정전용량 습도 소자 300 pF (센서 프로브 P-202에 실장, 결정 #33)</t>
        </is>
      </c>
      <c r="J65" s="19" t="n">
        <v>0</v>
      </c>
      <c r="K65" s="19" t="n">
        <v>0</v>
      </c>
      <c r="L65" s="20">
        <f>D65*J65</f>
        <v/>
      </c>
      <c r="M65" s="20">
        <f>D65*K65</f>
        <v/>
      </c>
      <c r="N65" s="21" t="inlineStr">
        <is>
          <t>사내 단가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MiniSens Pt1000 F0.1</t>
        </is>
      </c>
      <c r="I66" s="17" t="inlineStr">
        <is>
          <t>온도 소자 1.6×1.2 mm (센서 프로브 P-202에 실장)</t>
        </is>
      </c>
      <c r="J66" s="19" t="n">
        <v>0.5</v>
      </c>
      <c r="K66" s="19" t="n">
        <v>3</v>
      </c>
      <c r="L66" s="20">
        <f>D66*J66</f>
        <v/>
      </c>
      <c r="M66" s="20">
        <f>D66*K66</f>
        <v/>
      </c>
      <c r="N66" s="21" t="inlineStr">
        <is>
          <t>추정</t>
        </is>
      </c>
      <c r="O66" s="16" t="inlineStr"/>
      <c r="P66" s="16" t="inlineStr"/>
    </row>
    <row r="67">
      <c r="A67" s="16" t="n">
        <v>66</v>
      </c>
      <c r="B67" s="16" t="inlineStr">
        <is>
          <t>커넥터</t>
        </is>
      </c>
      <c r="C67" s="17" t="inlineStr">
        <is>
          <t>P-204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M Connect</t>
        </is>
      </c>
      <c r="H67" s="17" t="inlineStr">
        <is>
          <t>TBD (두텍 사용품)</t>
        </is>
      </c>
      <c r="I67" s="17" t="inlineStr">
        <is>
          <t>M12 8핀 수컷 전면 장착형 M16×1.5, 리드선형 (W-2 납땜)</t>
        </is>
      </c>
      <c r="J67" s="19" t="n">
        <v>2</v>
      </c>
      <c r="K67" s="19" t="n">
        <v>10</v>
      </c>
      <c r="L67" s="20">
        <f>D67*J67</f>
        <v/>
      </c>
      <c r="M67" s="20">
        <f>D67*K67</f>
        <v/>
      </c>
      <c r="N67" s="22" t="inlineStr">
        <is>
          <t>TBD</t>
        </is>
      </c>
      <c r="O67" s="16" t="inlineStr"/>
      <c r="P67" s="16" t="inlineStr"/>
    </row>
    <row r="68">
      <c r="A68" s="16" t="n">
        <v>67</v>
      </c>
      <c r="B68" s="16" t="inlineStr">
        <is>
          <t>하네스</t>
        </is>
      </c>
      <c r="C68" s="17" t="inlineStr">
        <is>
          <t>W-2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JST</t>
        </is>
      </c>
      <c r="H68" s="17" t="inlineStr">
        <is>
          <t>GHR-08V-S</t>
        </is>
      </c>
      <c r="I68" s="17" t="inlineStr">
        <is>
          <t>GH 1.25 mm 8핀 소켓 하우징 (M12 하네스 W-2)</t>
        </is>
      </c>
      <c r="J68" s="19" t="n">
        <v>0.06</v>
      </c>
      <c r="K68" s="19" t="n">
        <v>0.15</v>
      </c>
      <c r="L68" s="20">
        <f>D68*J68</f>
        <v/>
      </c>
      <c r="M68" s="20">
        <f>D68*K68</f>
        <v/>
      </c>
      <c r="N68" s="16" t="inlineStr">
        <is>
          <t>제안</t>
        </is>
      </c>
      <c r="O68" s="16" t="inlineStr">
        <is>
          <t>C485357</t>
        </is>
      </c>
      <c r="P68" s="16" t="inlineStr">
        <is>
          <t>LCSC 주문</t>
        </is>
      </c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8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SSHL-002T-P0.2</t>
        </is>
      </c>
      <c r="I69" s="17" t="inlineStr">
        <is>
          <t>GH 크림프 단자 AWG 30–26</t>
        </is>
      </c>
      <c r="J69" s="19" t="n">
        <v>0.03</v>
      </c>
      <c r="K69" s="19" t="n">
        <v>0.06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C189897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1</v>
      </c>
      <c r="E70" s="16" t="inlineStr">
        <is>
          <t>-</t>
        </is>
      </c>
      <c r="F70" s="16" t="inlineStr">
        <is>
          <t>-</t>
        </is>
      </c>
      <c r="G70" s="16" t="inlineStr">
        <is>
          <t>TBD</t>
        </is>
      </c>
      <c r="H70" s="17" t="inlineStr">
        <is>
          <t>PTFE AWG28 전선</t>
        </is>
      </c>
      <c r="I70" s="17" t="inlineStr">
        <is>
          <t>UL1213 계열 200 °C, 8심 × 60 mm + 수축튜브 (M12 핀 납땜)</t>
        </is>
      </c>
      <c r="J70" s="19" t="n">
        <v>0.15</v>
      </c>
      <c r="K70" s="19" t="n">
        <v>0.4</v>
      </c>
      <c r="L70" s="20">
        <f>D70*J70</f>
        <v/>
      </c>
      <c r="M70" s="20">
        <f>D70*K70</f>
        <v/>
      </c>
      <c r="N70" s="21" t="inlineStr">
        <is>
          <t>추정</t>
        </is>
      </c>
      <c r="O70" s="16" t="inlineStr"/>
      <c r="P70" s="16" t="inlineStr"/>
    </row>
    <row r="71">
      <c r="A71" s="16" t="n">
        <v>70</v>
      </c>
      <c r="B71" s="16" t="inlineStr">
        <is>
          <t>하네스</t>
        </is>
      </c>
      <c r="C71" s="17" t="inlineStr">
        <is>
          <t>W-1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JST</t>
        </is>
      </c>
      <c r="H71" s="17" t="inlineStr">
        <is>
          <t>SHR-04V-S</t>
        </is>
      </c>
      <c r="I71" s="17" t="inlineStr">
        <is>
          <t>SH 1.0 mm 4핀 소켓 하우징 (센서 하네스 W-1)</t>
        </is>
      </c>
      <c r="J71" s="19" t="n">
        <v>0.04</v>
      </c>
      <c r="K71" s="19" t="n">
        <v>0.1</v>
      </c>
      <c r="L71" s="20">
        <f>D71*J71</f>
        <v/>
      </c>
      <c r="M71" s="20">
        <f>D71*K71</f>
        <v/>
      </c>
      <c r="N71" s="16" t="inlineStr">
        <is>
          <t>제안</t>
        </is>
      </c>
      <c r="O71" s="16" t="inlineStr">
        <is>
          <t>C385125</t>
        </is>
      </c>
      <c r="P71" s="16" t="inlineStr">
        <is>
          <t>LCSC 주문</t>
        </is>
      </c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4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SSH-003T-P0.2-H</t>
        </is>
      </c>
      <c r="I72" s="17" t="inlineStr">
        <is>
          <t>SH 크림프 단자 AWG 32–28</t>
        </is>
      </c>
      <c r="J72" s="19" t="n">
        <v>0.03</v>
      </c>
      <c r="K72" s="19" t="n">
        <v>0.06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C263995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1</v>
      </c>
      <c r="E73" s="16" t="inlineStr">
        <is>
          <t>-</t>
        </is>
      </c>
      <c r="F73" s="16" t="inlineStr">
        <is>
          <t>-</t>
        </is>
      </c>
      <c r="G73" s="16" t="inlineStr">
        <is>
          <t>TBD</t>
        </is>
      </c>
      <c r="H73" s="17" t="inlineStr">
        <is>
          <t>PTFE AWG30 전선</t>
        </is>
      </c>
      <c r="I73" s="17" t="inlineStr">
        <is>
          <t>UL1213 계열 200 °C, 4심 × 60 mm (HTX99R 뒤 핀 납땜 + 수축튜브)</t>
        </is>
      </c>
      <c r="J73" s="19" t="n">
        <v>0.1</v>
      </c>
      <c r="K73" s="19" t="n">
        <v>0.3</v>
      </c>
      <c r="L73" s="20">
        <f>D73*J73</f>
        <v/>
      </c>
      <c r="M73" s="20">
        <f>D73*K73</f>
        <v/>
      </c>
      <c r="N73" s="21" t="inlineStr">
        <is>
          <t>추정</t>
        </is>
      </c>
      <c r="O73" s="16" t="inlineStr"/>
      <c r="P73" s="16" t="inlineStr"/>
    </row>
    <row r="74">
      <c r="A74" s="16" t="n">
        <v>73</v>
      </c>
      <c r="B74" s="16" t="inlineStr">
        <is>
          <t>조립</t>
        </is>
      </c>
      <c r="C74" s="17" t="inlineStr">
        <is>
          <t>-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-</t>
        </is>
      </c>
      <c r="H74" s="17" t="inlineStr">
        <is>
          <t>SMT 양면 실장</t>
        </is>
      </c>
      <c r="I74" s="17" t="inlineStr">
        <is>
          <t>1k 기준 조립비</t>
        </is>
      </c>
      <c r="J74" s="19" t="n">
        <v>2</v>
      </c>
      <c r="K74" s="19" t="n">
        <v>4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I75" s="3" t="inlineStr">
        <is>
          <t>합계 (1대분)</t>
        </is>
      </c>
      <c r="L75" s="23">
        <f>SUM(L2:L74)</f>
        <v/>
      </c>
      <c r="M75" s="23">
        <f>SUM(M2:M74)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2026-10-01T08:42:14Z</dcterms:created>
  <dcterms:modified xsi:type="dcterms:W3CDTF">2026-10-01T08:42:14Z</dcterms:modified>
</cp:coreProperties>
</file>