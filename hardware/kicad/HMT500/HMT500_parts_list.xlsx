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3" headerRowCount="1">
  <autoFilter ref="A1:N63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COUNTIF('부품리스트'!$B$2:$B$63,A7)</f>
        <v/>
      </c>
      <c r="C7" s="9">
        <f>SUMIFS('부품리스트'!$L$2:$L$63,'부품리스트'!$B$2:$B$63,A7)</f>
        <v/>
      </c>
      <c r="D7" s="9">
        <f>SUMIFS('부품리스트'!$M$2:$M$63,'부품리스트'!$B$2:$B$63,A7)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COUNTIF('부품리스트'!$B$2:$B$63,A8)</f>
        <v/>
      </c>
      <c r="C8" s="9">
        <f>SUMIFS('부품리스트'!$L$2:$L$63,'부품리스트'!$B$2:$B$63,A8)</f>
        <v/>
      </c>
      <c r="D8" s="9">
        <f>SUMIFS('부품리스트'!$M$2:$M$63,'부품리스트'!$B$2:$B$63,A8)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COUNTIF('부품리스트'!$B$2:$B$63,A9)</f>
        <v/>
      </c>
      <c r="C9" s="9">
        <f>SUMIFS('부품리스트'!$L$2:$L$63,'부품리스트'!$B$2:$B$63,A9)</f>
        <v/>
      </c>
      <c r="D9" s="9">
        <f>SUMIFS('부품리스트'!$M$2:$M$63,'부품리스트'!$B$2:$B$63,A9)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COUNTIF('부품리스트'!$B$2:$B$63,A10)</f>
        <v/>
      </c>
      <c r="C10" s="9">
        <f>SUMIFS('부품리스트'!$L$2:$L$63,'부품리스트'!$B$2:$B$63,A10)</f>
        <v/>
      </c>
      <c r="D10" s="9">
        <f>SUMIFS('부품리스트'!$M$2:$M$63,'부품리스트'!$B$2:$B$63,A10)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COUNTIF('부품리스트'!$B$2:$B$63,A11)</f>
        <v/>
      </c>
      <c r="C11" s="9">
        <f>SUMIFS('부품리스트'!$L$2:$L$63,'부품리스트'!$B$2:$B$63,A11)</f>
        <v/>
      </c>
      <c r="D11" s="9">
        <f>SUMIFS('부품리스트'!$M$2:$M$63,'부품리스트'!$B$2:$B$63,A11)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COUNTIF('부품리스트'!$B$2:$B$63,A12)</f>
        <v/>
      </c>
      <c r="C12" s="9">
        <f>SUMIFS('부품리스트'!$L$2:$L$63,'부품리스트'!$B$2:$B$63,A12)</f>
        <v/>
      </c>
      <c r="D12" s="9">
        <f>SUMIFS('부품리스트'!$M$2:$M$63,'부품리스트'!$B$2:$B$63,A12)</f>
        <v/>
      </c>
      <c r="E12" s="10">
        <f>C12*$B$4</f>
        <v/>
      </c>
      <c r="F12" s="10">
        <f>D12*$B$4</f>
        <v/>
      </c>
    </row>
    <row r="13">
      <c r="A13" s="7" t="inlineStr">
        <is>
          <t>전원</t>
        </is>
      </c>
      <c r="B13" s="8">
        <f>COUNTIF('부품리스트'!$B$2:$B$63,A13)</f>
        <v/>
      </c>
      <c r="C13" s="9">
        <f>SUMIFS('부품리스트'!$L$2:$L$63,'부품리스트'!$B$2:$B$63,A13)</f>
        <v/>
      </c>
      <c r="D13" s="9">
        <f>SUMIFS('부품리스트'!$M$2:$M$63,'부품리스트'!$B$2:$B$63,A13)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COUNTIF('부품리스트'!$B$2:$B$63,A14)</f>
        <v/>
      </c>
      <c r="C14" s="9">
        <f>SUMIFS('부품리스트'!$L$2:$L$63,'부품리스트'!$B$2:$B$63,A14)</f>
        <v/>
      </c>
      <c r="D14" s="9">
        <f>SUMIFS('부품리스트'!$M$2:$M$63,'부품리스트'!$B$2:$B$63,A14)</f>
        <v/>
      </c>
      <c r="E14" s="10">
        <f>C14*$B$4</f>
        <v/>
      </c>
      <c r="F14" s="10">
        <f>D14*$B$4</f>
        <v/>
      </c>
    </row>
    <row r="15">
      <c r="A15" s="7" t="inlineStr">
        <is>
          <t>출력</t>
        </is>
      </c>
      <c r="B15" s="8">
        <f>COUNTIF('부품리스트'!$B$2:$B$63,A15)</f>
        <v/>
      </c>
      <c r="C15" s="9">
        <f>SUMIFS('부품리스트'!$L$2:$L$63,'부품리스트'!$B$2:$B$63,A15)</f>
        <v/>
      </c>
      <c r="D15" s="9">
        <f>SUMIFS('부품리스트'!$M$2:$M$63,'부품리스트'!$B$2:$B$63,A15)</f>
        <v/>
      </c>
      <c r="E15" s="10">
        <f>C15*$B$4</f>
        <v/>
      </c>
      <c r="F15" s="10">
        <f>D15*$B$4</f>
        <v/>
      </c>
    </row>
    <row r="16">
      <c r="A16" s="7" t="inlineStr">
        <is>
          <t>통신</t>
        </is>
      </c>
      <c r="B16" s="8">
        <f>COUNTIF('부품리스트'!$B$2:$B$63,A16)</f>
        <v/>
      </c>
      <c r="C16" s="9">
        <f>SUMIFS('부품리스트'!$L$2:$L$63,'부품리스트'!$B$2:$B$63,A16)</f>
        <v/>
      </c>
      <c r="D16" s="9">
        <f>SUMIFS('부품리스트'!$M$2:$M$63,'부품리스트'!$B$2:$B$63,A16)</f>
        <v/>
      </c>
      <c r="E16" s="10">
        <f>C16*$B$4</f>
        <v/>
      </c>
      <c r="F16" s="10">
        <f>D16*$B$4</f>
        <v/>
      </c>
    </row>
    <row r="17">
      <c r="A17" s="7" t="inlineStr">
        <is>
          <t>기판</t>
        </is>
      </c>
      <c r="B17" s="8">
        <f>COUNTIF('부품리스트'!$B$2:$B$63,A17)</f>
        <v/>
      </c>
      <c r="C17" s="9">
        <f>SUMIFS('부품리스트'!$L$2:$L$63,'부품리스트'!$B$2:$B$63,A17)</f>
        <v/>
      </c>
      <c r="D17" s="9">
        <f>SUMIFS('부품리스트'!$M$2:$M$63,'부품리스트'!$B$2:$B$63,A17)</f>
        <v/>
      </c>
      <c r="E17" s="10">
        <f>C17*$B$4</f>
        <v/>
      </c>
      <c r="F17" s="10">
        <f>D17*$B$4</f>
        <v/>
      </c>
    </row>
    <row r="18">
      <c r="A18" s="7" t="inlineStr">
        <is>
          <t>센서</t>
        </is>
      </c>
      <c r="B18" s="8">
        <f>COUNTIF('부품리스트'!$B$2:$B$63,A18)</f>
        <v/>
      </c>
      <c r="C18" s="9">
        <f>SUMIFS('부품리스트'!$L$2:$L$63,'부품리스트'!$B$2:$B$63,A18)</f>
        <v/>
      </c>
      <c r="D18" s="9">
        <f>SUMIFS('부품리스트'!$M$2:$M$63,'부품리스트'!$B$2:$B$63,A18)</f>
        <v/>
      </c>
      <c r="E18" s="10">
        <f>C18*$B$4</f>
        <v/>
      </c>
      <c r="F18" s="10">
        <f>D18*$B$4</f>
        <v/>
      </c>
    </row>
    <row r="19">
      <c r="A19" s="7" t="inlineStr">
        <is>
          <t>하네스</t>
        </is>
      </c>
      <c r="B19" s="8">
        <f>COUNTIF('부품리스트'!$B$2:$B$63,A19)</f>
        <v/>
      </c>
      <c r="C19" s="9">
        <f>SUMIFS('부품리스트'!$L$2:$L$63,'부품리스트'!$B$2:$B$63,A19)</f>
        <v/>
      </c>
      <c r="D19" s="9">
        <f>SUMIFS('부품리스트'!$M$2:$M$63,'부품리스트'!$B$2:$B$63,A19)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COUNTIF('부품리스트'!$B$2:$B$63,A20)</f>
        <v/>
      </c>
      <c r="C20" s="9">
        <f>SUMIFS('부품리스트'!$L$2:$L$63,'부품리스트'!$B$2:$B$63,A20)</f>
        <v/>
      </c>
      <c r="D20" s="9">
        <f>SUMIFS('부품리스트'!$M$2:$M$63,'부품리스트'!$B$2:$B$63,A20)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SM08B-GHS-TB</t>
        </is>
      </c>
      <c r="F24" s="16" t="inlineStr">
        <is>
          <t>JST_GH_SM08B-GHS-TB_1x08-1MP_P1.25mm_Horizontal</t>
        </is>
      </c>
      <c r="G24" s="16" t="inlineStr">
        <is>
          <t>JST</t>
        </is>
      </c>
      <c r="H24" s="17" t="inlineStr">
        <is>
          <t>SM08B-GHS-TB</t>
        </is>
      </c>
      <c r="I24" s="17" t="inlineStr">
        <is>
          <t>GH 1.25 mm 8핀 헤더, 옆 삽입(직각) SMD (M12 하네스 W-2, 정격 −25~+85 °C)</t>
        </is>
      </c>
      <c r="J24" s="19" t="n">
        <v>0.35</v>
      </c>
      <c r="K24" s="19" t="n">
        <v>0.8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J3</t>
        </is>
      </c>
      <c r="D26" s="18" t="n">
        <v>1</v>
      </c>
      <c r="E26" s="16" t="inlineStr">
        <is>
          <t>BM04B-SRSS-TB</t>
        </is>
      </c>
      <c r="F26" s="16" t="inlineStr">
        <is>
          <t>JST_SH_BM04B-SRSS-TB_1x04-1MP_P1.00mm_Vertical</t>
        </is>
      </c>
      <c r="G26" s="16" t="inlineStr">
        <is>
          <t>JST</t>
        </is>
      </c>
      <c r="H26" s="17" t="inlineStr">
        <is>
          <t>BM04B-SRSS-TB</t>
        </is>
      </c>
      <c r="I26" s="17" t="inlineStr">
        <is>
          <t>SH 1.0 mm 4핀 헤더, 윗면 삽입 SMD (센서 하네스 W-1, 정격 −25~+85 °C)</t>
        </is>
      </c>
      <c r="J26" s="19" t="n">
        <v>0.3</v>
      </c>
      <c r="K26" s="19" t="n">
        <v>0.6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J5</t>
        </is>
      </c>
      <c r="D27" s="18" t="n">
        <v>1</v>
      </c>
      <c r="E27" s="16" t="inlineStr">
        <is>
          <t>Chassis contact</t>
        </is>
      </c>
      <c r="F27" s="16" t="inlineStr">
        <is>
          <t>Chassis_Spring_Contact</t>
        </is>
      </c>
      <c r="G27" s="16" t="inlineStr">
        <is>
          <t>TBD</t>
        </is>
      </c>
      <c r="H27" s="17" t="inlineStr">
        <is>
          <t>SMD 스프링 접점 (Würth WE-SECF 계열 등)</t>
        </is>
      </c>
      <c r="I27" s="17" t="inlineStr">
        <is>
          <t>PCB 가장자리 → 하우징 내면 샤시 접촉 (구 M12 쉘 핀 대체)</t>
        </is>
      </c>
      <c r="J27" s="19" t="n">
        <v>0.1</v>
      </c>
      <c r="K27" s="19" t="n">
        <v>0.4</v>
      </c>
      <c r="L27" s="20">
        <f>D27*J27</f>
        <v/>
      </c>
      <c r="M27" s="20">
        <f>D27*K27</f>
        <v/>
      </c>
      <c r="N27" s="22" t="inlineStr">
        <is>
          <t>TBD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L1</t>
        </is>
      </c>
      <c r="D28" s="18" t="n">
        <v>1</v>
      </c>
      <c r="E28" s="16" t="inlineStr">
        <is>
          <t>CMC 2x1mH 0.3A</t>
        </is>
      </c>
      <c r="F28" s="16" t="inlineStr">
        <is>
          <t>CMC_WE-SL</t>
        </is>
      </c>
      <c r="G28" s="16" t="inlineStr">
        <is>
          <t>Würth</t>
        </is>
      </c>
      <c r="H28" s="17" t="inlineStr">
        <is>
          <t>WE-SL2 계열 (품번 확인)</t>
        </is>
      </c>
      <c r="I28" s="17" t="inlineStr">
        <is>
          <t>공통모드 초크 2×1 mH, ≥0.3 A</t>
        </is>
      </c>
      <c r="J28" s="19" t="n">
        <v>0.3</v>
      </c>
      <c r="K28" s="19" t="n">
        <v>0.8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전원</t>
        </is>
      </c>
      <c r="C29" s="17" t="inlineStr">
        <is>
          <t>L2</t>
        </is>
      </c>
      <c r="D29" s="18" t="n">
        <v>1</v>
      </c>
      <c r="E29" s="16" t="inlineStr">
        <is>
          <t>22uH</t>
        </is>
      </c>
      <c r="F29" s="16" t="inlineStr">
        <is>
          <t>L_4x4mm</t>
        </is>
      </c>
      <c r="G29" s="16" t="inlineStr">
        <is>
          <t>Coilcraft</t>
        </is>
      </c>
      <c r="H29" s="17" t="inlineStr">
        <is>
          <t>XGL4030-223ME (확인)</t>
        </is>
      </c>
      <c r="I29" s="17" t="inlineStr">
        <is>
          <t>파워 인덕터 22 uH, 4×4 mm, Isat ≥ 0.8 A</t>
        </is>
      </c>
      <c r="J29" s="19" t="n">
        <v>0.25</v>
      </c>
      <c r="K29" s="19" t="n">
        <v>0.6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보호</t>
        </is>
      </c>
      <c r="C30" s="17" t="inlineStr">
        <is>
          <t>R1</t>
        </is>
      </c>
      <c r="D30" s="18" t="n">
        <v>1</v>
      </c>
      <c r="E30" s="16" t="inlineStr">
        <is>
          <t>4.7R 1W pulse</t>
        </is>
      </c>
      <c r="F30" s="16" t="inlineStr">
        <is>
          <t>R_MELF_MMB-0207</t>
        </is>
      </c>
      <c r="G30" s="16" t="inlineStr">
        <is>
          <t>Vishay</t>
        </is>
      </c>
      <c r="H30" s="17" t="inlineStr">
        <is>
          <t>MMB 0207 4.7 Ω (품번 확인)</t>
        </is>
      </c>
      <c r="I30" s="17" t="inlineStr">
        <is>
          <t>MELF 펄스 저항 4.7 Ω 1 W (입력 직렬)</t>
        </is>
      </c>
      <c r="J30" s="19" t="n">
        <v>0.1</v>
      </c>
      <c r="K30" s="19" t="n">
        <v>0.3</v>
      </c>
      <c r="L30" s="20">
        <f>D30*J30</f>
        <v/>
      </c>
      <c r="M30" s="20">
        <f>D30*K30</f>
        <v/>
      </c>
      <c r="N30" s="21" t="inlineStr">
        <is>
          <t>확인 필요</t>
        </is>
      </c>
    </row>
    <row r="31">
      <c r="A31" s="16" t="n">
        <v>30</v>
      </c>
      <c r="B31" s="16" t="inlineStr">
        <is>
          <t>수동</t>
        </is>
      </c>
      <c r="C31" s="17" t="inlineStr">
        <is>
          <t>R2</t>
        </is>
      </c>
      <c r="D31" s="18" t="n">
        <v>1</v>
      </c>
      <c r="E31" s="16" t="inlineStr">
        <is>
          <t>1M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RC0603FR-071ML</t>
        </is>
      </c>
      <c r="I31" s="17" t="inlineStr">
        <is>
          <t>저항 1 MΩ 1% 0603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R3</t>
        </is>
      </c>
      <c r="D32" s="18" t="n">
        <v>1</v>
      </c>
      <c r="E32" s="16" t="inlineStr">
        <is>
          <t>866k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RC0603FR-07866KL</t>
        </is>
      </c>
      <c r="I32" s="17" t="inlineStr">
        <is>
          <t>저항 866 kΩ 1% 0603 (UVLO)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R4</t>
        </is>
      </c>
      <c r="D33" s="18" t="n">
        <v>1</v>
      </c>
      <c r="E33" s="16" t="inlineStr">
        <is>
          <t>97.6k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RC0603FR-0797K6L</t>
        </is>
      </c>
      <c r="I33" s="17" t="inlineStr">
        <is>
          <t>저항 97.6 kΩ 1% 0603 (UVLO/OVP)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R5</t>
        </is>
      </c>
      <c r="D34" s="18" t="n">
        <v>1</v>
      </c>
      <c r="E34" s="16" t="inlineStr">
        <is>
          <t>36.5k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RC0603FR-0736K5L</t>
        </is>
      </c>
      <c r="I34" s="17" t="inlineStr">
        <is>
          <t>저항 36.5 kΩ 1% 0603 (OVP)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R6</t>
        </is>
      </c>
      <c r="D35" s="18" t="n">
        <v>1</v>
      </c>
      <c r="E35" s="16" t="inlineStr">
        <is>
          <t>R_ILIM *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 (값 TBD)</t>
        </is>
      </c>
      <c r="I35" s="17" t="inlineStr">
        <is>
          <t>저항 1% 0603 — TPS2660 전류제한 150 mA 값 계산 필요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22" t="inlineStr">
        <is>
          <t>TBD</t>
        </is>
      </c>
    </row>
    <row r="36">
      <c r="A36" s="16" t="n">
        <v>35</v>
      </c>
      <c r="B36" s="16" t="inlineStr">
        <is>
          <t>수동</t>
        </is>
      </c>
      <c r="C36" s="17" t="inlineStr">
        <is>
          <t>R7 R11 R12 R13 R14 R15 R31 R41</t>
        </is>
      </c>
      <c r="D36" s="18" t="n">
        <v>8</v>
      </c>
      <c r="E36" s="16" t="inlineStr">
        <is>
          <t>10k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RC0603FR-0710KL</t>
        </is>
      </c>
      <c r="I36" s="17" t="inlineStr">
        <is>
          <t>저항 10 kΩ 1% 0603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R8</t>
        </is>
      </c>
      <c r="D37" s="18" t="n">
        <v>1</v>
      </c>
      <c r="E37" s="16" t="inlineStr">
        <is>
          <t>100k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RC0603FR-07100KL</t>
        </is>
      </c>
      <c r="I37" s="17" t="inlineStr">
        <is>
          <t>저항 100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R9</t>
        </is>
      </c>
      <c r="D38" s="18" t="n">
        <v>1</v>
      </c>
      <c r="E38" s="16" t="inlineStr">
        <is>
          <t>24.9k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RC0603FR-0724K9L</t>
        </is>
      </c>
      <c r="I38" s="17" t="inlineStr">
        <is>
          <t>저항 24.9 kΩ 1% 0603 (벅 FB)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수동</t>
        </is>
      </c>
      <c r="C39" s="17" t="inlineStr">
        <is>
          <t>R16 R17 R18 R20</t>
        </is>
      </c>
      <c r="D39" s="18" t="n">
        <v>4</v>
      </c>
      <c r="E39" s="16" t="inlineStr">
        <is>
          <t>1k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RC0603FR-071KL</t>
        </is>
      </c>
      <c r="I39" s="17" t="inlineStr">
        <is>
          <t>저항 1 kΩ 1% 0603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</row>
    <row r="40">
      <c r="A40" s="16" t="n">
        <v>39</v>
      </c>
      <c r="B40" s="16" t="inlineStr">
        <is>
          <t>측정</t>
        </is>
      </c>
      <c r="C40" s="17" t="inlineStr">
        <is>
          <t>R19</t>
        </is>
      </c>
      <c r="D40" s="18" t="n">
        <v>1</v>
      </c>
      <c r="E40" s="16" t="inlineStr">
        <is>
          <t>4.02k 0.01% 5ppm</t>
        </is>
      </c>
      <c r="F40" s="16" t="inlineStr">
        <is>
          <t>R_0603_1608Metric</t>
        </is>
      </c>
      <c r="G40" s="16" t="inlineStr">
        <is>
          <t>Vishay / Susumu</t>
        </is>
      </c>
      <c r="H40" s="17" t="inlineStr">
        <is>
          <t>0.01% 5 ppm 박막 (품번 확인)</t>
        </is>
      </c>
      <c r="I40" s="17" t="inlineStr">
        <is>
          <t>Pt1000 기준저항 4.02 kΩ 0.01% 5 ppm/K 0603</t>
        </is>
      </c>
      <c r="J40" s="19" t="n">
        <v>1</v>
      </c>
      <c r="K40" s="19" t="n">
        <v>4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R22</t>
        </is>
      </c>
      <c r="D41" s="18" t="n">
        <v>1</v>
      </c>
      <c r="E41" s="16" t="inlineStr">
        <is>
          <t>0R RTN link*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RC0603JR-070RL</t>
        </is>
      </c>
      <c r="I41" s="17" t="inlineStr">
        <is>
          <t>0 Ω 링크 — TPS2660 RTN 연결 확인 후 실장 여부 결정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R30 R40</t>
        </is>
      </c>
      <c r="D42" s="18" t="n">
        <v>2</v>
      </c>
      <c r="E42" s="16" t="inlineStr">
        <is>
          <t>10R pulse</t>
        </is>
      </c>
      <c r="F42" s="16" t="inlineStr">
        <is>
          <t>R_2512_6332Metric</t>
        </is>
      </c>
      <c r="G42" s="16" t="inlineStr">
        <is>
          <t>Vishay</t>
        </is>
      </c>
      <c r="H42" s="17" t="inlineStr">
        <is>
          <t>CRCW251210R0FKEGHP (확인)</t>
        </is>
      </c>
      <c r="I42" s="17" t="inlineStr">
        <is>
          <t>펄스 내성 저항 10 Ω 2512 (출력 직렬)</t>
        </is>
      </c>
      <c r="J42" s="19" t="n">
        <v>0.05</v>
      </c>
      <c r="K42" s="19" t="n">
        <v>0.15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보호</t>
        </is>
      </c>
      <c r="C43" s="17" t="inlineStr">
        <is>
          <t>R60 R61</t>
        </is>
      </c>
      <c r="D43" s="18" t="n">
        <v>2</v>
      </c>
      <c r="E43" s="16" t="inlineStr">
        <is>
          <t>2.2R (or 0R)</t>
        </is>
      </c>
      <c r="F43" s="16" t="inlineStr">
        <is>
          <t>R_0603_1608Metric</t>
        </is>
      </c>
      <c r="G43" s="16" t="inlineStr">
        <is>
          <t>Yageo</t>
        </is>
      </c>
      <c r="H43" s="17" t="inlineStr">
        <is>
          <t>RC0603FR-072R2L</t>
        </is>
      </c>
      <c r="I43" s="17" t="inlineStr">
        <is>
          <t>저항 2.2 Ω 1% 0603 (RS-485 직렬)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U1</t>
        </is>
      </c>
      <c r="D44" s="18" t="n">
        <v>1</v>
      </c>
      <c r="E44" s="16" t="inlineStr">
        <is>
          <t>TPS26600PWPR</t>
        </is>
      </c>
      <c r="F44" s="16" t="inlineStr">
        <is>
          <t>HTSSOP-16-1EP_4.4x5mm_P0.65mm_EP3.4x5mm_Mask2.66x2.46mm_ThermalVias</t>
        </is>
      </c>
      <c r="G44" s="16" t="inlineStr">
        <is>
          <t>TI</t>
        </is>
      </c>
      <c r="H44" s="17" t="inlineStr">
        <is>
          <t>TPS26600PWPR</t>
        </is>
      </c>
      <c r="I44" s="17" t="inlineStr">
        <is>
          <t>eFuse 60 V 2 A, 역극성·OVP·UVLO, HTSSOP-16</t>
        </is>
      </c>
      <c r="J44" s="19" t="n">
        <v>1.5</v>
      </c>
      <c r="K44" s="19" t="n">
        <v>3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U2</t>
        </is>
      </c>
      <c r="D45" s="18" t="n">
        <v>1</v>
      </c>
      <c r="E45" s="16" t="inlineStr">
        <is>
          <t>LMR36006</t>
        </is>
      </c>
      <c r="F45" s="16" t="inlineStr">
        <is>
          <t>VQFN-HR-12_LMR36006</t>
        </is>
      </c>
      <c r="G45" s="16" t="inlineStr">
        <is>
          <t>TI</t>
        </is>
      </c>
      <c r="H45" s="17" t="inlineStr">
        <is>
          <t>LMR36006 (가변판 주문코드 확인)</t>
        </is>
      </c>
      <c r="I45" s="17" t="inlineStr">
        <is>
          <t>벅 60 V 0.6 A → 5 V</t>
        </is>
      </c>
      <c r="J45" s="19" t="n">
        <v>1</v>
      </c>
      <c r="K45" s="19" t="n">
        <v>1.6</v>
      </c>
      <c r="L45" s="20">
        <f>D45*J45</f>
        <v/>
      </c>
      <c r="M45" s="20">
        <f>D45*K45</f>
        <v/>
      </c>
      <c r="N45" s="21" t="inlineStr">
        <is>
          <t>확인 필요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U3</t>
        </is>
      </c>
      <c r="D46" s="18" t="n">
        <v>1</v>
      </c>
      <c r="E46" s="16" t="inlineStr">
        <is>
          <t>TPS7A2033PDBVR</t>
        </is>
      </c>
      <c r="F46" s="16" t="inlineStr">
        <is>
          <t>SOT-23-5</t>
        </is>
      </c>
      <c r="G46" s="16" t="inlineStr">
        <is>
          <t>TI</t>
        </is>
      </c>
      <c r="H46" s="17" t="inlineStr">
        <is>
          <t>TPS7A2033PDBVR</t>
        </is>
      </c>
      <c r="I46" s="17" t="inlineStr">
        <is>
          <t>LDO 3.3 V 300 mA 저잡음 SOT-23-5</t>
        </is>
      </c>
      <c r="J46" s="19" t="n">
        <v>0.07000000000000001</v>
      </c>
      <c r="K46" s="19" t="n">
        <v>0.3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MCU</t>
        </is>
      </c>
      <c r="C47" s="17" t="inlineStr">
        <is>
          <t>U4</t>
        </is>
      </c>
      <c r="D47" s="18" t="n">
        <v>1</v>
      </c>
      <c r="E47" s="16" t="inlineStr">
        <is>
          <t>STM32G0B1CCT3</t>
        </is>
      </c>
      <c r="F47" s="16" t="inlineStr">
        <is>
          <t>LQFP-48_7x7mm_P0.5mm</t>
        </is>
      </c>
      <c r="G47" s="16" t="inlineStr">
        <is>
          <t>ST</t>
        </is>
      </c>
      <c r="H47" s="17" t="inlineStr">
        <is>
          <t>STM32G0B1CCT3</t>
        </is>
      </c>
      <c r="I47" s="17" t="inlineStr">
        <is>
          <t>MCU Cortex-M0+ 64 MHz 256 KB, LQFP48, −40~125 °C (사내 DP2000 G0B1CCT6 동일 다이)</t>
        </is>
      </c>
      <c r="J47" s="19" t="n">
        <v>1.5</v>
      </c>
      <c r="K47" s="19" t="n">
        <v>2.5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U5</t>
        </is>
      </c>
      <c r="D48" s="18" t="n">
        <v>1</v>
      </c>
      <c r="E48" s="16" t="inlineStr">
        <is>
          <t>PCAP04-AQFM-24</t>
        </is>
      </c>
      <c r="F48" s="16" t="inlineStr">
        <is>
          <t>QFN-24_PCAP04</t>
        </is>
      </c>
      <c r="G48" s="16" t="inlineStr">
        <is>
          <t>ScioSense</t>
        </is>
      </c>
      <c r="H48" s="17" t="inlineStr">
        <is>
          <t>PCAP04-AQFM-24</t>
        </is>
      </c>
      <c r="I48" s="17" t="inlineStr">
        <is>
          <t>정전용량-디지털 변환기 QFN24</t>
        </is>
      </c>
      <c r="J48" s="19" t="n">
        <v>6.5</v>
      </c>
      <c r="K48" s="19" t="n">
        <v>7.1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U6</t>
        </is>
      </c>
      <c r="D49" s="18" t="n">
        <v>1</v>
      </c>
      <c r="E49" s="16" t="inlineStr">
        <is>
          <t>ADS1220IPWR</t>
        </is>
      </c>
      <c r="F49" s="16" t="inlineStr">
        <is>
          <t>TSSOP-16_4.4x5mm_P0.65mm</t>
        </is>
      </c>
      <c r="G49" s="16" t="inlineStr">
        <is>
          <t>TI</t>
        </is>
      </c>
      <c r="H49" s="17" t="inlineStr">
        <is>
          <t>ADS1220IPWR</t>
        </is>
      </c>
      <c r="I49" s="17" t="inlineStr">
        <is>
          <t>24-bit ADC, Pt1000 2선 (J3 패드에서 켈빈 분기), TSSOP-16</t>
        </is>
      </c>
      <c r="J49" s="19" t="n">
        <v>1.9</v>
      </c>
      <c r="K49" s="19" t="n">
        <v>3.5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U7 U8</t>
        </is>
      </c>
      <c r="D50" s="18" t="n">
        <v>2</v>
      </c>
      <c r="E50" s="16" t="inlineStr">
        <is>
          <t>DAC8760IPWP</t>
        </is>
      </c>
      <c r="F50" s="16" t="inlineStr">
        <is>
          <t>HTSSOP-24_DAC8760</t>
        </is>
      </c>
      <c r="G50" s="16" t="inlineStr">
        <is>
          <t>TI</t>
        </is>
      </c>
      <c r="H50" s="17" t="inlineStr">
        <is>
          <t>DAC8760IPWPR</t>
        </is>
      </c>
      <c r="I50" s="17" t="inlineStr">
        <is>
          <t>16-bit 전압/전류 출력 DAC, HTSSOP-24. 사양 확정 후 같은 핀 대체: DAC7760(12-bit V/I), DAC8750(16-bit 전류), DAC7750(12-bit 전류)</t>
        </is>
      </c>
      <c r="J50" s="19" t="n">
        <v>7.8</v>
      </c>
      <c r="K50" s="19" t="n">
        <v>12.4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U9 U10</t>
        </is>
      </c>
      <c r="D51" s="18" t="n">
        <v>2</v>
      </c>
      <c r="E51" s="16" t="inlineStr">
        <is>
          <t>TPS26611</t>
        </is>
      </c>
      <c r="F51" s="16" t="inlineStr">
        <is>
          <t>TPS26611</t>
        </is>
      </c>
      <c r="G51" s="16" t="inlineStr">
        <is>
          <t>TI</t>
        </is>
      </c>
      <c r="H51" s="17" t="inlineStr">
        <is>
          <t>TPS26611 (패키지·주문코드 확인)</t>
        </is>
      </c>
      <c r="I51" s="17" t="inlineStr">
        <is>
          <t>4–20 mA 출력 오결선 보호</t>
        </is>
      </c>
      <c r="J51" s="19" t="n">
        <v>1.2</v>
      </c>
      <c r="K51" s="19" t="n">
        <v>2.5</v>
      </c>
      <c r="L51" s="20">
        <f>D51*J51</f>
        <v/>
      </c>
      <c r="M51" s="20">
        <f>D51*K51</f>
        <v/>
      </c>
      <c r="N51" s="21" t="inlineStr">
        <is>
          <t>확인 필요</t>
        </is>
      </c>
    </row>
    <row r="52">
      <c r="A52" s="16" t="n">
        <v>51</v>
      </c>
      <c r="B52" s="16" t="inlineStr">
        <is>
          <t>통신</t>
        </is>
      </c>
      <c r="C52" s="17" t="inlineStr">
        <is>
          <t>U11</t>
        </is>
      </c>
      <c r="D52" s="18" t="n">
        <v>1</v>
      </c>
      <c r="E52" s="16" t="inlineStr">
        <is>
          <t>THVD2450DR</t>
        </is>
      </c>
      <c r="F52" s="16" t="inlineStr">
        <is>
          <t>SOIC-8_3.9x4.9mm_P1.27mm</t>
        </is>
      </c>
      <c r="G52" s="16" t="inlineStr">
        <is>
          <t>TI</t>
        </is>
      </c>
      <c r="H52" s="17" t="inlineStr">
        <is>
          <t>THVD2450DR</t>
        </is>
      </c>
      <c r="I52" s="17" t="inlineStr">
        <is>
          <t>RS-485 트랜시버, 버스 ±70 V 내성, SOIC-8</t>
        </is>
      </c>
      <c r="J52" s="19" t="n">
        <v>1.5</v>
      </c>
      <c r="K52" s="19" t="n">
        <v>3</v>
      </c>
      <c r="L52" s="20">
        <f>D52*J52</f>
        <v/>
      </c>
      <c r="M52" s="20">
        <f>D52*K52</f>
        <v/>
      </c>
      <c r="N52" s="16" t="inlineStr">
        <is>
          <t>확정</t>
        </is>
      </c>
    </row>
    <row r="53">
      <c r="A53" s="16" t="n">
        <v>52</v>
      </c>
      <c r="B53" s="16" t="inlineStr">
        <is>
          <t>기판</t>
        </is>
      </c>
      <c r="C53" s="17" t="inlineStr">
        <is>
          <t>PCB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-</t>
        </is>
      </c>
      <c r="H53" s="17" t="inlineStr">
        <is>
          <t>HMT500-E-301</t>
        </is>
      </c>
      <c r="I53" s="17" t="inlineStr">
        <is>
          <t>PCB 4층 57×23 mm, FR-4 1.6 t, ENIG (기구 Rev C 외곽)</t>
        </is>
      </c>
      <c r="J53" s="19" t="n">
        <v>0.8</v>
      </c>
      <c r="K53" s="19" t="n">
        <v>2</v>
      </c>
      <c r="L53" s="20">
        <f>D53*J53</f>
        <v/>
      </c>
      <c r="M53" s="20">
        <f>D53*K53</f>
        <v/>
      </c>
      <c r="N53" s="21" t="inlineStr">
        <is>
          <t>추정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MK33-W mini (150138)</t>
        </is>
      </c>
      <c r="I54" s="17" t="inlineStr">
        <is>
          <t>정전용량 습도 소자 200 pF (센서 프로브 P-202에 실장)</t>
        </is>
      </c>
      <c r="J54" s="19" t="n">
        <v>0</v>
      </c>
      <c r="K54" s="19" t="n">
        <v>0</v>
      </c>
      <c r="L54" s="20">
        <f>D54*J54</f>
        <v/>
      </c>
      <c r="M54" s="20">
        <f>D54*K54</f>
        <v/>
      </c>
      <c r="N54" s="21" t="inlineStr">
        <is>
          <t>사내 단가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MiniSens Pt1000 F0.1</t>
        </is>
      </c>
      <c r="I55" s="17" t="inlineStr">
        <is>
          <t>온도 소자 1.6×1.2 mm (센서 프로브 P-202에 실장)</t>
        </is>
      </c>
      <c r="J55" s="19" t="n">
        <v>0.5</v>
      </c>
      <c r="K55" s="19" t="n">
        <v>3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A56" s="16" t="n">
        <v>55</v>
      </c>
      <c r="B56" s="16" t="inlineStr">
        <is>
          <t>커넥터</t>
        </is>
      </c>
      <c r="C56" s="17" t="inlineStr">
        <is>
          <t>P-204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M Connect</t>
        </is>
      </c>
      <c r="H56" s="17" t="inlineStr">
        <is>
          <t>TBD (두텍 사용품)</t>
        </is>
      </c>
      <c r="I56" s="17" t="inlineStr">
        <is>
          <t>M12 8핀 수컷 전면 장착형 M16×1.5, 리드선형 (W-2 납땜)</t>
        </is>
      </c>
      <c r="J56" s="19" t="n">
        <v>2</v>
      </c>
      <c r="K56" s="19" t="n">
        <v>10</v>
      </c>
      <c r="L56" s="20">
        <f>D56*J56</f>
        <v/>
      </c>
      <c r="M56" s="20">
        <f>D56*K56</f>
        <v/>
      </c>
      <c r="N56" s="22" t="inlineStr">
        <is>
          <t>TBD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W-2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GHR-08V-S</t>
        </is>
      </c>
      <c r="I57" s="17" t="inlineStr">
        <is>
          <t>GH 1.25 mm 8핀 소켓 하우징 (M12 하네스 W-2)</t>
        </is>
      </c>
      <c r="J57" s="19" t="n">
        <v>0.06</v>
      </c>
      <c r="K57" s="19" t="n">
        <v>0.15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8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SSHL-002T-P0.2</t>
        </is>
      </c>
      <c r="I58" s="17" t="inlineStr">
        <is>
          <t>GH 크림프 단자 AWG 30–26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AWG28 전선</t>
        </is>
      </c>
      <c r="I59" s="17" t="inlineStr">
        <is>
          <t>UL1213 계열 200 °C, 8심 × 60 mm + 수축튜브 (M12 핀 납땜)</t>
        </is>
      </c>
      <c r="J59" s="19" t="n">
        <v>0.15</v>
      </c>
      <c r="K59" s="19" t="n">
        <v>0.4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W-1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JST</t>
        </is>
      </c>
      <c r="H60" s="17" t="inlineStr">
        <is>
          <t>SHR-04V-S</t>
        </is>
      </c>
      <c r="I60" s="17" t="inlineStr">
        <is>
          <t>SH 1.0 mm 4핀 소켓 하우징 (센서 하네스 W-1)</t>
        </is>
      </c>
      <c r="J60" s="19" t="n">
        <v>0.04</v>
      </c>
      <c r="K60" s="19" t="n">
        <v>0.1</v>
      </c>
      <c r="L60" s="20">
        <f>D60*J60</f>
        <v/>
      </c>
      <c r="M60" s="20">
        <f>D60*K60</f>
        <v/>
      </c>
      <c r="N60" s="16" t="inlineStr">
        <is>
          <t>제안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4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SSH-003T-P0.2-H</t>
        </is>
      </c>
      <c r="I61" s="17" t="inlineStr">
        <is>
          <t>SH 크림프 단자 AWG 32–28</t>
        </is>
      </c>
      <c r="J61" s="19" t="n">
        <v>0.03</v>
      </c>
      <c r="K61" s="19" t="n">
        <v>0.06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TBD</t>
        </is>
      </c>
      <c r="H62" s="17" t="inlineStr">
        <is>
          <t>PTFE AWG30 전선</t>
        </is>
      </c>
      <c r="I62" s="17" t="inlineStr">
        <is>
          <t>UL1213 계열 200 °C, 4심 × 60 mm (HTX99R 뒤 핀 납땜 + 수축튜브)</t>
        </is>
      </c>
      <c r="J62" s="19" t="n">
        <v>0.1</v>
      </c>
      <c r="K62" s="19" t="n">
        <v>0.3</v>
      </c>
      <c r="L62" s="20">
        <f>D62*J62</f>
        <v/>
      </c>
      <c r="M62" s="20">
        <f>D62*K62</f>
        <v/>
      </c>
      <c r="N62" s="21" t="inlineStr">
        <is>
          <t>추정</t>
        </is>
      </c>
    </row>
    <row r="63">
      <c r="A63" s="16" t="n">
        <v>62</v>
      </c>
      <c r="B63" s="16" t="inlineStr">
        <is>
          <t>조립</t>
        </is>
      </c>
      <c r="C63" s="17" t="inlineStr">
        <is>
          <t>-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-</t>
        </is>
      </c>
      <c r="H63" s="17" t="inlineStr">
        <is>
          <t>SMT 양면 실장</t>
        </is>
      </c>
      <c r="I63" s="17" t="inlineStr">
        <is>
          <t>1k 기준 조립비</t>
        </is>
      </c>
      <c r="J63" s="19" t="n">
        <v>2</v>
      </c>
      <c r="K63" s="19" t="n">
        <v>4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I64" s="3" t="inlineStr">
        <is>
          <t>합계 (1대분)</t>
        </is>
      </c>
      <c r="L64" s="23">
        <f>SUM(L2:L63)</f>
        <v/>
      </c>
      <c r="M64" s="23">
        <f>SUM(M2:M63)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2026-09-29T07:31:44Z</dcterms:created>
  <dcterms:modified xsi:type="dcterms:W3CDTF">2026-09-29T07:31:44Z</dcterms:modified>
</cp:coreProperties>
</file>